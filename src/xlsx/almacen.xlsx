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9420"/>
  </bookViews>
  <sheets>
    <sheet name="Hoja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<sst xmlns="http://schemas.openxmlformats.org/spreadsheetml/2006/main" count="330" uniqueCount="13">
  <si>
    <t>CODIGO</t>
  </si>
  <si>
    <t>DESCRIPCION</t>
  </si>
  <si>
    <t>UNI. MEDIDAD</t>
  </si>
  <si>
    <t>ENTRADAS</t>
  </si>
  <si>
    <t>SALIDAS</t>
  </si>
  <si>
    <t>STOCK</t>
  </si>
  <si>
    <t>IMAGEN REF.</t>
  </si>
  <si>
    <t>UNID</t>
  </si>
  <si>
    <t>PAQT.</t>
  </si>
  <si>
    <t>BOLSA</t>
  </si>
  <si>
    <t>ROLLO</t>
  </si>
  <si>
    <t>GALON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</si>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</sst>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/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STEMA%20DE%20INVENTARIO%20CORPORATIVO%20FINAL%201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ENTRADAS"/>
      <sheetName val="SALIDAS"/>
      <sheetName val="INVENTARIO"/>
      <sheetName val="DATO"/>
    </sheetNames>
    <sheetDataSet>
      <sheetData sheetId="0"/>
      <sheetData sheetId="1">
        <row r="2">
          <cell r="B2" t="str">
            <v>CODIGO</v>
          </cell>
          <cell r="C2" t="str">
            <v>DESCRIPCION</v>
          </cell>
          <cell r="D2" t="str">
            <v>UNI. MEDIDAD</v>
          </cell>
          <cell r="E2" t="str">
            <v>CANTIDAD</v>
          </cell>
          <cell r="F2" t="str">
            <v>COSTO</v>
          </cell>
        </row>
        <row r="3">
          <cell r="B3">
            <v>77</v>
          </cell>
          <cell r="C3" t="str">
            <v>CULER PEQUEÑO</v>
          </cell>
        </row>
        <row r="3">
          <cell r="E3">
            <v>4</v>
          </cell>
          <cell r="F3">
            <v>0</v>
          </cell>
        </row>
        <row r="4">
          <cell r="B4">
            <v>329</v>
          </cell>
          <cell r="C4" t="str">
            <v>PINZAS PARRILLERAS</v>
          </cell>
        </row>
        <row r="4">
          <cell r="E4">
            <v>3</v>
          </cell>
          <cell r="F4">
            <v>10</v>
          </cell>
        </row>
        <row r="5">
          <cell r="B5">
            <v>15</v>
          </cell>
          <cell r="C5" t="str">
            <v>TAZA DE PORCELANA 200CM</v>
          </cell>
          <cell r="D5" t="str">
            <v>UNID</v>
          </cell>
          <cell r="E5">
            <v>3</v>
          </cell>
          <cell r="F5">
            <v>0</v>
          </cell>
        </row>
        <row r="6">
          <cell r="B6">
            <v>15</v>
          </cell>
          <cell r="C6" t="str">
            <v>TAZA DE PORCELANA 200CM</v>
          </cell>
          <cell r="D6" t="str">
            <v>UNID</v>
          </cell>
          <cell r="E6">
            <v>3</v>
          </cell>
          <cell r="F6">
            <v>0</v>
          </cell>
        </row>
        <row r="7">
          <cell r="B7">
            <v>316</v>
          </cell>
          <cell r="C7" t="str">
            <v>FOCO PLANO LED</v>
          </cell>
          <cell r="D7" t="str">
            <v>UNID</v>
          </cell>
          <cell r="E7">
            <v>1</v>
          </cell>
          <cell r="F7">
            <v>0</v>
          </cell>
        </row>
        <row r="8">
          <cell r="B8">
            <v>36</v>
          </cell>
          <cell r="C8" t="str">
            <v>CUCHARA MEDIANA -NOCTURNO</v>
          </cell>
          <cell r="D8" t="str">
            <v>UNID</v>
          </cell>
          <cell r="E8">
            <v>6</v>
          </cell>
          <cell r="F8">
            <v>0</v>
          </cell>
        </row>
        <row r="9">
          <cell r="B9">
            <v>34</v>
          </cell>
          <cell r="C9" t="str">
            <v>TENEDOR -NOCTURNO</v>
          </cell>
          <cell r="D9" t="str">
            <v>UNID</v>
          </cell>
          <cell r="E9">
            <v>6</v>
          </cell>
          <cell r="F9">
            <v>0</v>
          </cell>
        </row>
        <row r="10">
          <cell r="B10">
            <v>33</v>
          </cell>
          <cell r="C10" t="str">
            <v>CUCHILLO REVERSO- NOCTURNO</v>
          </cell>
          <cell r="D10" t="str">
            <v>UNID</v>
          </cell>
          <cell r="E10">
            <v>6</v>
          </cell>
          <cell r="F10">
            <v>0</v>
          </cell>
        </row>
        <row r="11">
          <cell r="B11">
            <v>1</v>
          </cell>
          <cell r="C11" t="str">
            <v>COPA FLAUTA</v>
          </cell>
          <cell r="D11" t="str">
            <v>UNID</v>
          </cell>
          <cell r="E11">
            <v>11</v>
          </cell>
          <cell r="F11">
            <v>10</v>
          </cell>
        </row>
        <row r="12">
          <cell r="B12">
            <v>2</v>
          </cell>
          <cell r="C12" t="str">
            <v>COPA BOCA CERRADA</v>
          </cell>
          <cell r="D12" t="str">
            <v>UNID</v>
          </cell>
          <cell r="E12">
            <v>49</v>
          </cell>
          <cell r="F12">
            <v>1</v>
          </cell>
        </row>
        <row r="13">
          <cell r="B13">
            <v>3</v>
          </cell>
          <cell r="C13" t="str">
            <v>COPA PERA</v>
          </cell>
          <cell r="D13" t="str">
            <v>UNID</v>
          </cell>
          <cell r="E13">
            <v>36</v>
          </cell>
        </row>
        <row r="14">
          <cell r="B14">
            <v>4</v>
          </cell>
          <cell r="C14" t="str">
            <v>VASO DE CERVEZA SMITH 320ML</v>
          </cell>
          <cell r="D14" t="str">
            <v>UNID</v>
          </cell>
          <cell r="E14">
            <v>34</v>
          </cell>
        </row>
        <row r="15">
          <cell r="B15">
            <v>5</v>
          </cell>
          <cell r="C15" t="str">
            <v>JARRA CON PICO</v>
          </cell>
          <cell r="D15" t="str">
            <v>UNID</v>
          </cell>
          <cell r="E15">
            <v>24</v>
          </cell>
        </row>
        <row r="16">
          <cell r="B16">
            <v>6</v>
          </cell>
          <cell r="C16" t="str">
            <v>JARRA CON TAPA</v>
          </cell>
          <cell r="D16" t="str">
            <v>UNID</v>
          </cell>
          <cell r="E16">
            <v>60</v>
          </cell>
        </row>
        <row r="17">
          <cell r="B17">
            <v>7</v>
          </cell>
          <cell r="C17" t="str">
            <v>COPA DE VINO NADIR 7156</v>
          </cell>
          <cell r="D17" t="str">
            <v>UNID</v>
          </cell>
          <cell r="E17">
            <v>115</v>
          </cell>
        </row>
        <row r="18">
          <cell r="B18">
            <v>8</v>
          </cell>
          <cell r="C18" t="str">
            <v>COPA MARTINI 7228</v>
          </cell>
          <cell r="D18" t="str">
            <v>UNID</v>
          </cell>
          <cell r="E18">
            <v>150</v>
          </cell>
        </row>
        <row r="19">
          <cell r="B19">
            <v>9</v>
          </cell>
          <cell r="C19" t="str">
            <v>COPA SHAMPAN 7828</v>
          </cell>
          <cell r="D19" t="str">
            <v>UNID</v>
          </cell>
          <cell r="E19">
            <v>116</v>
          </cell>
        </row>
        <row r="20">
          <cell r="B20">
            <v>10</v>
          </cell>
          <cell r="C20" t="str">
            <v>VASO DE CRISTAL 8.5ONZ</v>
          </cell>
          <cell r="D20" t="str">
            <v>UNID</v>
          </cell>
          <cell r="E20">
            <v>1007</v>
          </cell>
        </row>
        <row r="21">
          <cell r="B21">
            <v>11</v>
          </cell>
          <cell r="C21" t="str">
            <v>VASO ESTRIADO</v>
          </cell>
          <cell r="D21" t="str">
            <v>UNID</v>
          </cell>
          <cell r="E21">
            <v>47</v>
          </cell>
        </row>
        <row r="22">
          <cell r="B22">
            <v>12</v>
          </cell>
          <cell r="C22" t="str">
            <v>VASO DE CRISTAL 11.2ONZ</v>
          </cell>
          <cell r="D22" t="str">
            <v>UNID</v>
          </cell>
          <cell r="E22">
            <v>94</v>
          </cell>
        </row>
        <row r="23">
          <cell r="B23">
            <v>13</v>
          </cell>
          <cell r="C23" t="str">
            <v>COPA SUNJU SUA(BOLONIA)</v>
          </cell>
          <cell r="D23" t="str">
            <v>UNID</v>
          </cell>
          <cell r="E23">
            <v>124</v>
          </cell>
        </row>
        <row r="24">
          <cell r="B24">
            <v>14</v>
          </cell>
          <cell r="C24" t="str">
            <v>TAZA DE PORCELANA 336CM</v>
          </cell>
          <cell r="D24" t="str">
            <v>UNID</v>
          </cell>
          <cell r="E24">
            <v>48</v>
          </cell>
        </row>
        <row r="25">
          <cell r="B25">
            <v>15</v>
          </cell>
          <cell r="C25" t="str">
            <v>TAZA DE PORCELANA 200CM</v>
          </cell>
          <cell r="D25" t="str">
            <v>UNID</v>
          </cell>
          <cell r="E25">
            <v>58</v>
          </cell>
        </row>
        <row r="26">
          <cell r="B26">
            <v>16</v>
          </cell>
          <cell r="C26" t="str">
            <v>VASO DE CERVEZA DOUZANES</v>
          </cell>
          <cell r="D26" t="str">
            <v>UNID</v>
          </cell>
          <cell r="E26">
            <v>37</v>
          </cell>
        </row>
        <row r="27">
          <cell r="B27">
            <v>17</v>
          </cell>
          <cell r="C27" t="str">
            <v>WISQUERA</v>
          </cell>
          <cell r="D27" t="str">
            <v>UNID</v>
          </cell>
          <cell r="E27">
            <v>47</v>
          </cell>
        </row>
        <row r="28">
          <cell r="B28">
            <v>18</v>
          </cell>
          <cell r="C28" t="str">
            <v>SHOP CERVEZA LIZO</v>
          </cell>
          <cell r="D28" t="str">
            <v>UNID</v>
          </cell>
          <cell r="E28">
            <v>48</v>
          </cell>
        </row>
        <row r="29">
          <cell r="B29">
            <v>19</v>
          </cell>
          <cell r="C29" t="str">
            <v>SHOP CERVEZA RANURAS</v>
          </cell>
          <cell r="D29" t="str">
            <v>UNID</v>
          </cell>
          <cell r="E29">
            <v>21</v>
          </cell>
        </row>
        <row r="30">
          <cell r="B30">
            <v>20</v>
          </cell>
          <cell r="C30" t="str">
            <v>COPITA DE HELADO</v>
          </cell>
          <cell r="D30" t="str">
            <v>UNID</v>
          </cell>
          <cell r="E30">
            <v>110</v>
          </cell>
        </row>
        <row r="31">
          <cell r="B31">
            <v>21</v>
          </cell>
          <cell r="C31" t="str">
            <v>TAZA DE TE PITEADO</v>
          </cell>
          <cell r="D31" t="str">
            <v>UNID</v>
          </cell>
          <cell r="E31">
            <v>56</v>
          </cell>
        </row>
        <row r="32">
          <cell r="B32">
            <v>22</v>
          </cell>
          <cell r="C32" t="str">
            <v>COPA CON ASA IRLANDES</v>
          </cell>
          <cell r="D32" t="str">
            <v>UNID</v>
          </cell>
          <cell r="E32">
            <v>12</v>
          </cell>
        </row>
        <row r="33">
          <cell r="B33">
            <v>23</v>
          </cell>
          <cell r="C33" t="str">
            <v>VASO CHOPITO</v>
          </cell>
          <cell r="D33" t="str">
            <v>UNID</v>
          </cell>
          <cell r="E33">
            <v>42</v>
          </cell>
        </row>
        <row r="34">
          <cell r="B34">
            <v>24</v>
          </cell>
          <cell r="C34" t="str">
            <v>COPITA SHOT</v>
          </cell>
          <cell r="D34" t="str">
            <v>UNID</v>
          </cell>
          <cell r="E34">
            <v>11</v>
          </cell>
        </row>
        <row r="35">
          <cell r="B35">
            <v>25</v>
          </cell>
          <cell r="C35" t="str">
            <v>VASO DE CERVEZA CUSQUEÑA</v>
          </cell>
          <cell r="D35" t="str">
            <v>UNID</v>
          </cell>
          <cell r="E35">
            <v>49</v>
          </cell>
        </row>
        <row r="36">
          <cell r="B36">
            <v>26</v>
          </cell>
          <cell r="C36" t="str">
            <v>COPA DE VINO TABERNERO</v>
          </cell>
          <cell r="D36" t="str">
            <v>UNID</v>
          </cell>
          <cell r="E36">
            <v>60</v>
          </cell>
        </row>
        <row r="37">
          <cell r="B37">
            <v>27</v>
          </cell>
          <cell r="C37" t="str">
            <v>COPA CHILCANO TABERNERO</v>
          </cell>
          <cell r="D37" t="str">
            <v>UNID</v>
          </cell>
          <cell r="E37">
            <v>45</v>
          </cell>
        </row>
        <row r="38">
          <cell r="B38">
            <v>28</v>
          </cell>
          <cell r="C38" t="str">
            <v>COPA CHILCANO</v>
          </cell>
          <cell r="D38" t="str">
            <v>UNID</v>
          </cell>
          <cell r="E38">
            <v>17</v>
          </cell>
        </row>
        <row r="39">
          <cell r="B39">
            <v>29</v>
          </cell>
          <cell r="C39" t="str">
            <v>COPA CHILCANO PEQUEÑO</v>
          </cell>
          <cell r="D39" t="str">
            <v>UNID</v>
          </cell>
          <cell r="E39">
            <v>5</v>
          </cell>
        </row>
        <row r="40">
          <cell r="B40">
            <v>30</v>
          </cell>
          <cell r="C40" t="str">
            <v>COPA SUNDAE</v>
          </cell>
          <cell r="D40" t="str">
            <v>UNID</v>
          </cell>
          <cell r="E40">
            <v>20</v>
          </cell>
        </row>
        <row r="41">
          <cell r="B41">
            <v>31</v>
          </cell>
          <cell r="C41" t="str">
            <v>COPA DE VINO 16CM</v>
          </cell>
          <cell r="D41" t="str">
            <v>UNID</v>
          </cell>
          <cell r="E41">
            <v>10</v>
          </cell>
        </row>
        <row r="42">
          <cell r="B42">
            <v>32</v>
          </cell>
          <cell r="C42" t="str">
            <v>COPA DE HELADO (AYACUCHO-PERU)</v>
          </cell>
          <cell r="D42" t="str">
            <v>UNID</v>
          </cell>
          <cell r="E42">
            <v>9</v>
          </cell>
        </row>
        <row r="43">
          <cell r="B43">
            <v>33</v>
          </cell>
          <cell r="C43" t="str">
            <v>CUCHILLO REVERSO- NOCTURNO</v>
          </cell>
          <cell r="D43" t="str">
            <v>UNID</v>
          </cell>
          <cell r="E43">
            <v>161</v>
          </cell>
        </row>
        <row r="44">
          <cell r="B44">
            <v>34</v>
          </cell>
          <cell r="C44" t="str">
            <v>TENEDOR -NOCTURNO</v>
          </cell>
          <cell r="D44" t="str">
            <v>UNID</v>
          </cell>
          <cell r="E44">
            <v>111</v>
          </cell>
        </row>
        <row r="45">
          <cell r="B45">
            <v>35</v>
          </cell>
          <cell r="C45" t="str">
            <v>CUCHARA GRANDE -NOCTURNO</v>
          </cell>
          <cell r="D45" t="str">
            <v>UNID</v>
          </cell>
          <cell r="E45">
            <v>52</v>
          </cell>
        </row>
        <row r="46">
          <cell r="B46">
            <v>36</v>
          </cell>
          <cell r="C46" t="str">
            <v>CUCHARA MEDIANA -NOCTURNO</v>
          </cell>
          <cell r="D46" t="str">
            <v>UNID</v>
          </cell>
          <cell r="E46">
            <v>48</v>
          </cell>
        </row>
        <row r="47">
          <cell r="B47">
            <v>37</v>
          </cell>
          <cell r="C47" t="str">
            <v>CUCHARA PEQUEÑA -NOCTURNO</v>
          </cell>
          <cell r="D47" t="str">
            <v>UNID</v>
          </cell>
          <cell r="E47">
            <v>40</v>
          </cell>
        </row>
        <row r="48">
          <cell r="B48">
            <v>38</v>
          </cell>
          <cell r="C48" t="str">
            <v>CUCHARA DE POSTRE</v>
          </cell>
          <cell r="D48" t="str">
            <v>UNID</v>
          </cell>
          <cell r="E48">
            <v>7</v>
          </cell>
        </row>
        <row r="49">
          <cell r="B49">
            <v>39</v>
          </cell>
          <cell r="C49" t="str">
            <v>SERVILLETEROS DE METAL</v>
          </cell>
          <cell r="D49" t="str">
            <v>UNID</v>
          </cell>
          <cell r="E49">
            <v>66</v>
          </cell>
        </row>
        <row r="50">
          <cell r="B50">
            <v>40</v>
          </cell>
          <cell r="C50" t="str">
            <v>SAL DE MARAS EN POTES</v>
          </cell>
          <cell r="D50" t="str">
            <v>UNID</v>
          </cell>
          <cell r="E50">
            <v>64</v>
          </cell>
        </row>
        <row r="51">
          <cell r="B51">
            <v>41</v>
          </cell>
          <cell r="C51" t="str">
            <v>SERVILLETEROS DE LOZA </v>
          </cell>
          <cell r="D51" t="str">
            <v>UNID</v>
          </cell>
          <cell r="E51">
            <v>62</v>
          </cell>
        </row>
        <row r="52">
          <cell r="B52">
            <v>42</v>
          </cell>
          <cell r="C52" t="str">
            <v>SERVILLETEROS INKA COLA </v>
          </cell>
          <cell r="D52" t="str">
            <v>UNID</v>
          </cell>
          <cell r="E52">
            <v>78</v>
          </cell>
        </row>
        <row r="53">
          <cell r="B53">
            <v>43</v>
          </cell>
          <cell r="C53" t="str">
            <v>BANDEJA CUENTEROS</v>
          </cell>
          <cell r="D53" t="str">
            <v>UNID</v>
          </cell>
          <cell r="E53">
            <v>242</v>
          </cell>
        </row>
        <row r="54">
          <cell r="B54">
            <v>44</v>
          </cell>
          <cell r="C54" t="str">
            <v>MOSTRADOR DE TARJETAS</v>
          </cell>
          <cell r="D54" t="str">
            <v>UNID</v>
          </cell>
          <cell r="E54">
            <v>17</v>
          </cell>
        </row>
        <row r="55">
          <cell r="B55">
            <v>45</v>
          </cell>
          <cell r="C55" t="str">
            <v>PLATOS PANDO</v>
          </cell>
          <cell r="D55" t="str">
            <v>UNID</v>
          </cell>
          <cell r="E55">
            <v>48</v>
          </cell>
        </row>
        <row r="56">
          <cell r="B56">
            <v>46</v>
          </cell>
          <cell r="C56" t="str">
            <v>DESCARTABLE PLATO HONDO</v>
          </cell>
          <cell r="D56" t="str">
            <v>PAQT.</v>
          </cell>
          <cell r="E56">
            <v>2</v>
          </cell>
        </row>
        <row r="57">
          <cell r="B57">
            <v>47</v>
          </cell>
          <cell r="C57" t="str">
            <v>OLLA DE ACERO RECORD D24</v>
          </cell>
          <cell r="D57" t="str">
            <v>UNID</v>
          </cell>
          <cell r="E57">
            <v>1</v>
          </cell>
        </row>
        <row r="58">
          <cell r="B58">
            <v>48</v>
          </cell>
          <cell r="C58" t="str">
            <v>OLLA DE ACERO RECORD D28</v>
          </cell>
          <cell r="D58" t="str">
            <v>UNID</v>
          </cell>
          <cell r="E58">
            <v>2</v>
          </cell>
        </row>
        <row r="59">
          <cell r="B59">
            <v>49</v>
          </cell>
          <cell r="C59" t="str">
            <v>TEFLON DE ACERO RECORD</v>
          </cell>
          <cell r="D59" t="str">
            <v>UNID</v>
          </cell>
          <cell r="E59">
            <v>2</v>
          </cell>
        </row>
        <row r="60">
          <cell r="B60">
            <v>50</v>
          </cell>
          <cell r="C60" t="str">
            <v>OLLA CON MAGO ACERO RECORD</v>
          </cell>
          <cell r="D60" t="str">
            <v>UNID</v>
          </cell>
          <cell r="E60">
            <v>2</v>
          </cell>
        </row>
        <row r="61">
          <cell r="B61">
            <v>51</v>
          </cell>
          <cell r="C61" t="str">
            <v>AZUCARERA DE METAL</v>
          </cell>
          <cell r="D61" t="str">
            <v>UNID</v>
          </cell>
          <cell r="E61">
            <v>5</v>
          </cell>
        </row>
        <row r="62">
          <cell r="B62">
            <v>52</v>
          </cell>
          <cell r="C62" t="str">
            <v>COCINA DE INDUCCION RECORD</v>
          </cell>
          <cell r="D62" t="str">
            <v>UNID</v>
          </cell>
          <cell r="E62">
            <v>6</v>
          </cell>
        </row>
        <row r="63">
          <cell r="B63">
            <v>53</v>
          </cell>
          <cell r="C63" t="str">
            <v>OLLA CON MANGO TRAMONTINA</v>
          </cell>
          <cell r="D63" t="str">
            <v>UNID</v>
          </cell>
          <cell r="E63">
            <v>2</v>
          </cell>
        </row>
        <row r="64">
          <cell r="B64">
            <v>54</v>
          </cell>
          <cell r="C64" t="str">
            <v>OLLA CHOCOLATERA ELECTRICA</v>
          </cell>
          <cell r="D64" t="str">
            <v>UNID</v>
          </cell>
          <cell r="E64">
            <v>1</v>
          </cell>
        </row>
        <row r="65">
          <cell r="B65">
            <v>55</v>
          </cell>
          <cell r="C65" t="str">
            <v>MINI MOLDE DE POSTRE </v>
          </cell>
          <cell r="D65" t="str">
            <v>UNID</v>
          </cell>
          <cell r="E65">
            <v>18</v>
          </cell>
        </row>
        <row r="66">
          <cell r="B66">
            <v>56</v>
          </cell>
          <cell r="C66" t="str">
            <v>CREMERA CON ASA</v>
          </cell>
          <cell r="D66" t="str">
            <v>UNID</v>
          </cell>
          <cell r="E66">
            <v>25</v>
          </cell>
        </row>
        <row r="67">
          <cell r="B67">
            <v>57</v>
          </cell>
          <cell r="C67" t="str">
            <v>FRASCO DE VIDRIO JOGURT</v>
          </cell>
          <cell r="D67" t="str">
            <v>UNID</v>
          </cell>
          <cell r="E67">
            <v>21</v>
          </cell>
        </row>
        <row r="68">
          <cell r="B68">
            <v>58</v>
          </cell>
          <cell r="C68" t="str">
            <v>CINICERO DE VIDRIO</v>
          </cell>
          <cell r="D68" t="str">
            <v>UNID</v>
          </cell>
          <cell r="E68">
            <v>3</v>
          </cell>
        </row>
        <row r="69">
          <cell r="B69">
            <v>59</v>
          </cell>
          <cell r="C69" t="str">
            <v>FUENTE ALUMINIO</v>
          </cell>
          <cell r="D69" t="str">
            <v>UNID</v>
          </cell>
          <cell r="E69">
            <v>1</v>
          </cell>
        </row>
        <row r="70">
          <cell r="B70">
            <v>60</v>
          </cell>
          <cell r="C70" t="str">
            <v>SILLA DE PLASTICO ROJO</v>
          </cell>
          <cell r="D70" t="str">
            <v>UNID</v>
          </cell>
          <cell r="E70">
            <v>74</v>
          </cell>
        </row>
        <row r="71">
          <cell r="B71">
            <v>61</v>
          </cell>
          <cell r="C71" t="str">
            <v>ARBOL DE NAVIDAD</v>
          </cell>
          <cell r="D71" t="str">
            <v>UNID</v>
          </cell>
          <cell r="E71">
            <v>5</v>
          </cell>
        </row>
        <row r="72">
          <cell r="B72">
            <v>62</v>
          </cell>
          <cell r="C72" t="str">
            <v>ANIMALES DE NAVIDAD</v>
          </cell>
          <cell r="D72" t="str">
            <v>UNID</v>
          </cell>
          <cell r="E72">
            <v>2</v>
          </cell>
        </row>
        <row r="73">
          <cell r="B73">
            <v>63</v>
          </cell>
          <cell r="C73" t="str">
            <v>FORMAS NAVIDAD</v>
          </cell>
          <cell r="D73" t="str">
            <v>UNID</v>
          </cell>
          <cell r="E73">
            <v>2</v>
          </cell>
        </row>
        <row r="74">
          <cell r="B74">
            <v>64</v>
          </cell>
          <cell r="C74" t="str">
            <v>LUCES LAS FLORES</v>
          </cell>
          <cell r="D74" t="str">
            <v>UNID</v>
          </cell>
          <cell r="E74">
            <v>1</v>
          </cell>
        </row>
        <row r="75">
          <cell r="B75">
            <v>65</v>
          </cell>
          <cell r="C75" t="str">
            <v>LUCES FELIZ CUMPLEAÑOS</v>
          </cell>
          <cell r="D75" t="str">
            <v>UNID</v>
          </cell>
          <cell r="E75">
            <v>1</v>
          </cell>
        </row>
        <row r="76">
          <cell r="B76">
            <v>66</v>
          </cell>
          <cell r="C76" t="str">
            <v>DECORACION NUESTRO MATRIMINIO</v>
          </cell>
          <cell r="D76" t="str">
            <v>UNID</v>
          </cell>
          <cell r="E76">
            <v>1</v>
          </cell>
        </row>
        <row r="77">
          <cell r="B77">
            <v>67</v>
          </cell>
          <cell r="C77" t="str">
            <v>DECORACION MI BAUTIZO</v>
          </cell>
          <cell r="D77" t="str">
            <v>UNID</v>
          </cell>
          <cell r="E77">
            <v>1</v>
          </cell>
        </row>
        <row r="78">
          <cell r="B78">
            <v>68</v>
          </cell>
          <cell r="C78" t="str">
            <v>MARCO DE PROPAGANDA CUSQUEÑA</v>
          </cell>
          <cell r="D78" t="str">
            <v>UNID</v>
          </cell>
          <cell r="E78">
            <v>2</v>
          </cell>
        </row>
        <row r="79">
          <cell r="B79">
            <v>69</v>
          </cell>
          <cell r="C79" t="str">
            <v>SILLA DE BEBE</v>
          </cell>
          <cell r="D79" t="str">
            <v>UNID</v>
          </cell>
          <cell r="E79">
            <v>1</v>
          </cell>
        </row>
        <row r="80">
          <cell r="B80">
            <v>70</v>
          </cell>
          <cell r="C80" t="str">
            <v>TRIPODE PARA PINTAR</v>
          </cell>
          <cell r="D80" t="str">
            <v>UNID</v>
          </cell>
          <cell r="E80">
            <v>4</v>
          </cell>
        </row>
        <row r="81">
          <cell r="B81">
            <v>71</v>
          </cell>
          <cell r="C81" t="str">
            <v>MESA DE SERVICIO INKA COLA</v>
          </cell>
          <cell r="D81" t="str">
            <v>UNID</v>
          </cell>
          <cell r="E81">
            <v>1</v>
          </cell>
        </row>
        <row r="82">
          <cell r="B82">
            <v>72</v>
          </cell>
          <cell r="C82" t="str">
            <v>MANTELES BLANCOS</v>
          </cell>
          <cell r="D82" t="str">
            <v>UNID</v>
          </cell>
          <cell r="E82">
            <v>61</v>
          </cell>
        </row>
        <row r="83">
          <cell r="B83">
            <v>73</v>
          </cell>
          <cell r="C83" t="str">
            <v>MANTEL ROSA</v>
          </cell>
          <cell r="D83" t="str">
            <v>UNID</v>
          </cell>
          <cell r="E83">
            <v>19</v>
          </cell>
        </row>
        <row r="84">
          <cell r="B84">
            <v>74</v>
          </cell>
          <cell r="C84" t="str">
            <v>MANTEL CIRCULAR</v>
          </cell>
          <cell r="D84" t="str">
            <v>UNID</v>
          </cell>
          <cell r="E84">
            <v>8</v>
          </cell>
        </row>
        <row r="85">
          <cell r="B85">
            <v>75</v>
          </cell>
          <cell r="C85" t="str">
            <v>CARAMELO LAS FLORES</v>
          </cell>
          <cell r="D85" t="str">
            <v>BOLSA</v>
          </cell>
          <cell r="E85">
            <v>750</v>
          </cell>
        </row>
        <row r="86">
          <cell r="B86">
            <v>76</v>
          </cell>
          <cell r="C86" t="str">
            <v>CULER GRANDE </v>
          </cell>
          <cell r="D86" t="str">
            <v>UNID</v>
          </cell>
          <cell r="E86">
            <v>1</v>
          </cell>
        </row>
        <row r="87">
          <cell r="B87">
            <v>77</v>
          </cell>
          <cell r="C87" t="str">
            <v>CULER PEQUEÑO</v>
          </cell>
          <cell r="D87" t="str">
            <v>UNID</v>
          </cell>
          <cell r="E87">
            <v>4</v>
          </cell>
        </row>
        <row r="88">
          <cell r="B88">
            <v>78</v>
          </cell>
          <cell r="C88" t="str">
            <v>TINA 100L</v>
          </cell>
          <cell r="D88" t="str">
            <v>UNID</v>
          </cell>
          <cell r="E88">
            <v>2</v>
          </cell>
        </row>
        <row r="89">
          <cell r="B89">
            <v>79</v>
          </cell>
          <cell r="C89" t="str">
            <v>TINA 50L</v>
          </cell>
          <cell r="D89" t="str">
            <v>UNID</v>
          </cell>
          <cell r="E89">
            <v>4</v>
          </cell>
        </row>
        <row r="90">
          <cell r="B90">
            <v>80</v>
          </cell>
          <cell r="C90" t="str">
            <v>TINA 30L</v>
          </cell>
          <cell r="D90" t="str">
            <v>UNID</v>
          </cell>
          <cell r="E90">
            <v>8</v>
          </cell>
        </row>
        <row r="91">
          <cell r="B91">
            <v>81</v>
          </cell>
          <cell r="C91" t="str">
            <v>EXTINTORES</v>
          </cell>
          <cell r="D91" t="str">
            <v>UNID</v>
          </cell>
          <cell r="E91">
            <v>3</v>
          </cell>
        </row>
        <row r="92">
          <cell r="B92">
            <v>82</v>
          </cell>
          <cell r="C92" t="str">
            <v>MOCHILA DE FUNIGACION</v>
          </cell>
          <cell r="D92" t="str">
            <v>UNID</v>
          </cell>
          <cell r="E92">
            <v>2</v>
          </cell>
        </row>
        <row r="93">
          <cell r="B93">
            <v>83</v>
          </cell>
          <cell r="C93" t="str">
            <v>CANALETA DE LUZ GRUESO</v>
          </cell>
          <cell r="D93" t="str">
            <v>UNID</v>
          </cell>
          <cell r="E93">
            <v>6</v>
          </cell>
        </row>
        <row r="94">
          <cell r="B94">
            <v>84</v>
          </cell>
          <cell r="C94" t="str">
            <v>CANALETA DE LUZ DELGADO</v>
          </cell>
          <cell r="D94" t="str">
            <v>UNID</v>
          </cell>
          <cell r="E94">
            <v>6</v>
          </cell>
        </row>
        <row r="95">
          <cell r="B95">
            <v>85</v>
          </cell>
          <cell r="C95" t="str">
            <v>ESTABILIZADOR DE ENERGIA</v>
          </cell>
          <cell r="D95" t="str">
            <v>UNID</v>
          </cell>
          <cell r="E95">
            <v>6</v>
          </cell>
        </row>
        <row r="96">
          <cell r="B96">
            <v>86</v>
          </cell>
          <cell r="C96" t="str">
            <v>TECLADO</v>
          </cell>
          <cell r="D96" t="str">
            <v>UNID</v>
          </cell>
          <cell r="E96">
            <v>3</v>
          </cell>
        </row>
        <row r="97">
          <cell r="B97">
            <v>87</v>
          </cell>
          <cell r="C97" t="str">
            <v>REGLETA TELEFONICA</v>
          </cell>
          <cell r="D97" t="str">
            <v>UNID</v>
          </cell>
          <cell r="E97">
            <v>2</v>
          </cell>
        </row>
        <row r="98">
          <cell r="B98">
            <v>88</v>
          </cell>
          <cell r="C98" t="str">
            <v>SWITCH DE RED</v>
          </cell>
          <cell r="D98" t="str">
            <v>UNID</v>
          </cell>
          <cell r="E98">
            <v>3</v>
          </cell>
        </row>
        <row r="99">
          <cell r="B99">
            <v>89</v>
          </cell>
          <cell r="C99" t="str">
            <v>PARLANTE HALION</v>
          </cell>
          <cell r="D99" t="str">
            <v>UNID</v>
          </cell>
          <cell r="E99">
            <v>2</v>
          </cell>
        </row>
        <row r="100">
          <cell r="B100">
            <v>90</v>
          </cell>
          <cell r="C100" t="str">
            <v>MOUSE</v>
          </cell>
          <cell r="D100" t="str">
            <v>UNID</v>
          </cell>
          <cell r="E100">
            <v>2</v>
          </cell>
        </row>
        <row r="101">
          <cell r="B101">
            <v>91</v>
          </cell>
          <cell r="C101" t="str">
            <v>LUCES DE EMERGENCIA</v>
          </cell>
          <cell r="D101" t="str">
            <v>UNID</v>
          </cell>
          <cell r="E101">
            <v>5</v>
          </cell>
        </row>
        <row r="102">
          <cell r="B102">
            <v>92</v>
          </cell>
          <cell r="C102" t="str">
            <v>ESMALTE AEROSOL</v>
          </cell>
          <cell r="D102" t="str">
            <v>UNID</v>
          </cell>
          <cell r="E102">
            <v>1</v>
          </cell>
        </row>
        <row r="103">
          <cell r="B103">
            <v>93</v>
          </cell>
          <cell r="C103" t="str">
            <v>SACA GRASA</v>
          </cell>
          <cell r="D103" t="str">
            <v>UNID</v>
          </cell>
          <cell r="E103">
            <v>1</v>
          </cell>
        </row>
        <row r="104">
          <cell r="B104">
            <v>94</v>
          </cell>
          <cell r="C104" t="str">
            <v>PINTURA NEGRA AEROSOL</v>
          </cell>
          <cell r="D104" t="str">
            <v>UNID</v>
          </cell>
          <cell r="E104">
            <v>3</v>
          </cell>
        </row>
        <row r="105">
          <cell r="B105">
            <v>95</v>
          </cell>
          <cell r="C105" t="str">
            <v>BALANZA LUXXE</v>
          </cell>
          <cell r="D105" t="str">
            <v>UNID</v>
          </cell>
          <cell r="E105">
            <v>1</v>
          </cell>
        </row>
        <row r="106">
          <cell r="B106">
            <v>96</v>
          </cell>
          <cell r="C106" t="str">
            <v>TRAGA LUZ</v>
          </cell>
          <cell r="D106" t="str">
            <v>UNID</v>
          </cell>
          <cell r="E106">
            <v>3</v>
          </cell>
        </row>
        <row r="107">
          <cell r="B107">
            <v>97</v>
          </cell>
          <cell r="C107" t="str">
            <v>CHAPA CERRADURA DE PUERTA</v>
          </cell>
          <cell r="D107" t="str">
            <v>UNID</v>
          </cell>
          <cell r="E107">
            <v>3</v>
          </cell>
        </row>
        <row r="108">
          <cell r="B108">
            <v>98</v>
          </cell>
          <cell r="C108" t="str">
            <v>CAJA MODULAR 2X4</v>
          </cell>
          <cell r="D108" t="str">
            <v>UNID</v>
          </cell>
          <cell r="E108">
            <v>4</v>
          </cell>
        </row>
        <row r="109">
          <cell r="B109">
            <v>99</v>
          </cell>
          <cell r="C109" t="str">
            <v>GABINETE DE LLAVES TERMICAS</v>
          </cell>
          <cell r="D109" t="str">
            <v>UNID</v>
          </cell>
          <cell r="E109">
            <v>1</v>
          </cell>
        </row>
        <row r="110">
          <cell r="B110">
            <v>100</v>
          </cell>
          <cell r="C110" t="str">
            <v>TOMA CORRIENTE</v>
          </cell>
          <cell r="D110" t="str">
            <v>UNID</v>
          </cell>
          <cell r="E110">
            <v>8</v>
          </cell>
        </row>
        <row r="111">
          <cell r="B111">
            <v>101</v>
          </cell>
          <cell r="C111" t="str">
            <v>SOQUETE DE LUZ</v>
          </cell>
          <cell r="D111" t="str">
            <v>UNID</v>
          </cell>
          <cell r="E111">
            <v>2</v>
          </cell>
        </row>
        <row r="112">
          <cell r="B112">
            <v>102</v>
          </cell>
          <cell r="C112" t="str">
            <v>INTERRUPTOR</v>
          </cell>
          <cell r="D112" t="str">
            <v>UNID</v>
          </cell>
          <cell r="E112">
            <v>4</v>
          </cell>
        </row>
        <row r="113">
          <cell r="B113">
            <v>103</v>
          </cell>
          <cell r="C113" t="str">
            <v>CONTROL TV</v>
          </cell>
          <cell r="D113" t="str">
            <v>UNID</v>
          </cell>
          <cell r="E113">
            <v>7</v>
          </cell>
        </row>
        <row r="114">
          <cell r="B114">
            <v>104</v>
          </cell>
          <cell r="C114" t="str">
            <v>FOCO GIRNALDA </v>
          </cell>
          <cell r="D114" t="str">
            <v>UNID</v>
          </cell>
          <cell r="E114">
            <v>13</v>
          </cell>
        </row>
        <row r="115">
          <cell r="B115">
            <v>105</v>
          </cell>
          <cell r="C115" t="str">
            <v>FOCO LED 10.5 W</v>
          </cell>
          <cell r="D115" t="str">
            <v>UNID</v>
          </cell>
          <cell r="E115">
            <v>28</v>
          </cell>
        </row>
        <row r="116">
          <cell r="B116">
            <v>106</v>
          </cell>
          <cell r="C116" t="str">
            <v>FOCO LED BLACO FRIO</v>
          </cell>
          <cell r="D116" t="str">
            <v>UNID</v>
          </cell>
          <cell r="E116">
            <v>3</v>
          </cell>
        </row>
        <row r="117">
          <cell r="B117">
            <v>107</v>
          </cell>
          <cell r="C117" t="str">
            <v>LLAVE TERMICA</v>
          </cell>
          <cell r="D117" t="str">
            <v>UNID</v>
          </cell>
          <cell r="E117">
            <v>3</v>
          </cell>
        </row>
        <row r="118">
          <cell r="B118">
            <v>108</v>
          </cell>
          <cell r="C118" t="str">
            <v>PLANCHA DE ROPA</v>
          </cell>
          <cell r="D118" t="str">
            <v>UNID</v>
          </cell>
          <cell r="E118">
            <v>2</v>
          </cell>
        </row>
        <row r="119">
          <cell r="B119">
            <v>109</v>
          </cell>
          <cell r="C119" t="str">
            <v>MOTOR BONBA </v>
          </cell>
          <cell r="D119" t="str">
            <v>UNID</v>
          </cell>
          <cell r="E119">
            <v>2</v>
          </cell>
        </row>
        <row r="120">
          <cell r="B120">
            <v>110</v>
          </cell>
          <cell r="C120" t="str">
            <v>CUCHILLA DE LICUADORA PEQUEÑA</v>
          </cell>
          <cell r="D120" t="str">
            <v>UNID</v>
          </cell>
          <cell r="E120">
            <v>1</v>
          </cell>
        </row>
        <row r="121">
          <cell r="B121">
            <v>111</v>
          </cell>
          <cell r="C121" t="str">
            <v>PIEDRA DE ASENTAR (TRUPER)</v>
          </cell>
          <cell r="D121" t="str">
            <v>UNID</v>
          </cell>
          <cell r="E121">
            <v>1</v>
          </cell>
        </row>
        <row r="122">
          <cell r="B122">
            <v>112</v>
          </cell>
          <cell r="C122" t="str">
            <v>PREFILTRO AQUA NANO</v>
          </cell>
          <cell r="D122" t="str">
            <v>UNID</v>
          </cell>
          <cell r="E122">
            <v>1</v>
          </cell>
        </row>
        <row r="123">
          <cell r="B123">
            <v>113</v>
          </cell>
          <cell r="C123" t="str">
            <v>DISPENSADOR DE JABON </v>
          </cell>
          <cell r="D123" t="str">
            <v>UNID</v>
          </cell>
          <cell r="E123">
            <v>1</v>
          </cell>
        </row>
        <row r="124">
          <cell r="B124">
            <v>114</v>
          </cell>
          <cell r="C124" t="str">
            <v>GIRNALDAS</v>
          </cell>
          <cell r="D124" t="str">
            <v>UNID</v>
          </cell>
          <cell r="E124">
            <v>1</v>
          </cell>
        </row>
        <row r="125">
          <cell r="B125">
            <v>115</v>
          </cell>
          <cell r="C125" t="str">
            <v>MICROHONDAS SAMSUNG</v>
          </cell>
          <cell r="D125" t="str">
            <v>UNID</v>
          </cell>
          <cell r="E125">
            <v>1</v>
          </cell>
        </row>
        <row r="126">
          <cell r="B126">
            <v>116</v>
          </cell>
          <cell r="C126" t="str">
            <v>CAJA ELECTRICO DE ACERO</v>
          </cell>
          <cell r="D126" t="str">
            <v>UNID</v>
          </cell>
          <cell r="E126">
            <v>4</v>
          </cell>
        </row>
        <row r="127">
          <cell r="B127">
            <v>117</v>
          </cell>
          <cell r="C127" t="str">
            <v>MANGERA DE LAVADORA </v>
          </cell>
          <cell r="D127" t="str">
            <v>UNID</v>
          </cell>
          <cell r="E127">
            <v>3</v>
          </cell>
        </row>
        <row r="128">
          <cell r="B128">
            <v>118</v>
          </cell>
          <cell r="C128" t="str">
            <v>TAPA TANQUE DE AGUA</v>
          </cell>
          <cell r="D128" t="str">
            <v>UNID</v>
          </cell>
          <cell r="E128">
            <v>4</v>
          </cell>
        </row>
        <row r="129">
          <cell r="B129">
            <v>119</v>
          </cell>
          <cell r="C129" t="str">
            <v>BOTAS TALLA 40</v>
          </cell>
          <cell r="D129" t="str">
            <v>UNID</v>
          </cell>
          <cell r="E129">
            <v>1</v>
          </cell>
        </row>
        <row r="130">
          <cell r="B130">
            <v>120</v>
          </cell>
          <cell r="C130" t="str">
            <v>BOTAS TALLA 37</v>
          </cell>
          <cell r="D130" t="str">
            <v>UNID</v>
          </cell>
          <cell r="E130">
            <v>2</v>
          </cell>
        </row>
        <row r="131">
          <cell r="B131">
            <v>121</v>
          </cell>
          <cell r="C131" t="str">
            <v>BOTAS TALLA 35</v>
          </cell>
          <cell r="D131" t="str">
            <v>UNID</v>
          </cell>
          <cell r="E131">
            <v>1</v>
          </cell>
        </row>
        <row r="132">
          <cell r="B132">
            <v>122</v>
          </cell>
          <cell r="C132" t="str">
            <v>BANDEJA DESCARTABLE B5</v>
          </cell>
          <cell r="D132" t="str">
            <v>UNID</v>
          </cell>
          <cell r="E132">
            <v>259</v>
          </cell>
        </row>
        <row r="133">
          <cell r="B133">
            <v>123</v>
          </cell>
          <cell r="C133" t="str">
            <v>ARCHIVADOR </v>
          </cell>
          <cell r="D133" t="str">
            <v>UNID</v>
          </cell>
          <cell r="E133">
            <v>2</v>
          </cell>
        </row>
        <row r="134">
          <cell r="B134">
            <v>124</v>
          </cell>
          <cell r="C134" t="str">
            <v>HILO DE PESCAR</v>
          </cell>
          <cell r="D134" t="str">
            <v>UNID</v>
          </cell>
          <cell r="E134">
            <v>2</v>
          </cell>
        </row>
        <row r="135">
          <cell r="B135">
            <v>125</v>
          </cell>
          <cell r="C135" t="str">
            <v>CAMISETAS DE PARTIDOS </v>
          </cell>
          <cell r="D135" t="str">
            <v>UNID</v>
          </cell>
          <cell r="E135">
            <v>7</v>
          </cell>
        </row>
        <row r="136">
          <cell r="B136">
            <v>126</v>
          </cell>
          <cell r="C136" t="str">
            <v>CUTUTUS DE NAVIDAD </v>
          </cell>
          <cell r="D136" t="str">
            <v>UNID</v>
          </cell>
          <cell r="E136">
            <v>20</v>
          </cell>
        </row>
        <row r="137">
          <cell r="B137">
            <v>127</v>
          </cell>
          <cell r="C137" t="str">
            <v>FUNDA PARA SILLAS</v>
          </cell>
          <cell r="D137" t="str">
            <v>UNID</v>
          </cell>
          <cell r="E137">
            <v>5</v>
          </cell>
        </row>
        <row r="138">
          <cell r="B138">
            <v>128</v>
          </cell>
          <cell r="C138" t="str">
            <v>TERNO CONJUNTO</v>
          </cell>
          <cell r="D138" t="str">
            <v>UNID</v>
          </cell>
          <cell r="E138">
            <v>4</v>
          </cell>
        </row>
        <row r="139">
          <cell r="B139">
            <v>129</v>
          </cell>
          <cell r="C139" t="str">
            <v>CANASTA CON ASA</v>
          </cell>
          <cell r="D139" t="str">
            <v>UNID</v>
          </cell>
          <cell r="E139">
            <v>4</v>
          </cell>
        </row>
        <row r="140">
          <cell r="B140">
            <v>130</v>
          </cell>
          <cell r="C140" t="str">
            <v>MICROFONO</v>
          </cell>
          <cell r="D140" t="str">
            <v>UNID</v>
          </cell>
          <cell r="E140">
            <v>1</v>
          </cell>
        </row>
        <row r="141">
          <cell r="B141">
            <v>131</v>
          </cell>
          <cell r="C141" t="str">
            <v>EMPAQUE DE DELIBERY</v>
          </cell>
          <cell r="D141" t="str">
            <v>UNID</v>
          </cell>
          <cell r="E141">
            <v>230</v>
          </cell>
        </row>
        <row r="142">
          <cell r="B142">
            <v>132</v>
          </cell>
          <cell r="C142" t="str">
            <v>DISFRAS DE LLAMA</v>
          </cell>
          <cell r="D142" t="str">
            <v>UNID</v>
          </cell>
          <cell r="E142">
            <v>1</v>
          </cell>
        </row>
        <row r="143">
          <cell r="B143">
            <v>133</v>
          </cell>
          <cell r="C143" t="str">
            <v>TERMO DISPENSADOR</v>
          </cell>
          <cell r="D143" t="str">
            <v>UNID</v>
          </cell>
          <cell r="E143">
            <v>1</v>
          </cell>
        </row>
        <row r="144">
          <cell r="B144">
            <v>134</v>
          </cell>
          <cell r="C144" t="str">
            <v>HERVIDORA DE 8L</v>
          </cell>
          <cell r="D144" t="str">
            <v>UNID</v>
          </cell>
          <cell r="E144">
            <v>2</v>
          </cell>
        </row>
        <row r="145">
          <cell r="B145">
            <v>135</v>
          </cell>
          <cell r="C145" t="str">
            <v>MOLDE DE TORTA</v>
          </cell>
          <cell r="D145" t="str">
            <v>UNID</v>
          </cell>
          <cell r="E145">
            <v>10</v>
          </cell>
        </row>
        <row r="146">
          <cell r="B146">
            <v>136</v>
          </cell>
          <cell r="C146" t="str">
            <v>MOLDE DE KEKE CUADROS</v>
          </cell>
          <cell r="D146" t="str">
            <v>UNID</v>
          </cell>
          <cell r="E146">
            <v>2</v>
          </cell>
        </row>
        <row r="147">
          <cell r="B147">
            <v>137</v>
          </cell>
          <cell r="C147" t="str">
            <v>MOLDES DE GOMA</v>
          </cell>
          <cell r="D147" t="str">
            <v>UNID</v>
          </cell>
          <cell r="E147">
            <v>2</v>
          </cell>
        </row>
        <row r="148">
          <cell r="B148">
            <v>138</v>
          </cell>
          <cell r="C148" t="str">
            <v>CAFETERA DE PORCELANA</v>
          </cell>
          <cell r="D148" t="str">
            <v>UNID</v>
          </cell>
          <cell r="E148">
            <v>1</v>
          </cell>
        </row>
        <row r="149">
          <cell r="B149">
            <v>139</v>
          </cell>
          <cell r="C149" t="str">
            <v>PIRIX DE VIDRIO CHIQUITO</v>
          </cell>
          <cell r="D149" t="str">
            <v>UNID</v>
          </cell>
          <cell r="E149">
            <v>6</v>
          </cell>
        </row>
        <row r="150">
          <cell r="B150">
            <v>140</v>
          </cell>
          <cell r="C150" t="str">
            <v>BATIDORA</v>
          </cell>
          <cell r="D150" t="str">
            <v>UNID</v>
          </cell>
          <cell r="E150">
            <v>1</v>
          </cell>
        </row>
        <row r="151">
          <cell r="B151">
            <v>141</v>
          </cell>
          <cell r="C151" t="str">
            <v>TOSTADORA</v>
          </cell>
          <cell r="D151" t="str">
            <v>UNID</v>
          </cell>
          <cell r="E151">
            <v>1</v>
          </cell>
        </row>
        <row r="152">
          <cell r="B152">
            <v>142</v>
          </cell>
          <cell r="C152" t="str">
            <v>FUENTE METAL PEQUEÑO</v>
          </cell>
          <cell r="D152" t="str">
            <v>UNID</v>
          </cell>
          <cell r="E152">
            <v>10</v>
          </cell>
        </row>
        <row r="153">
          <cell r="B153">
            <v>143</v>
          </cell>
          <cell r="C153" t="str">
            <v>PLANCHA SARTEN DOBLE</v>
          </cell>
          <cell r="D153" t="str">
            <v>UNID</v>
          </cell>
          <cell r="E153">
            <v>1</v>
          </cell>
        </row>
        <row r="154">
          <cell r="B154">
            <v>144</v>
          </cell>
          <cell r="C154" t="str">
            <v>TERMOACERO</v>
          </cell>
          <cell r="D154" t="str">
            <v>UNID</v>
          </cell>
          <cell r="E154">
            <v>1</v>
          </cell>
        </row>
        <row r="155">
          <cell r="B155">
            <v>145</v>
          </cell>
          <cell r="C155" t="str">
            <v>JARRA DE ACERO</v>
          </cell>
          <cell r="D155" t="str">
            <v>UNID</v>
          </cell>
          <cell r="E155">
            <v>1</v>
          </cell>
        </row>
        <row r="156">
          <cell r="B156">
            <v>146</v>
          </cell>
          <cell r="C156" t="str">
            <v>SAMOBAR</v>
          </cell>
          <cell r="D156" t="str">
            <v>UNID</v>
          </cell>
          <cell r="E156">
            <v>6</v>
          </cell>
        </row>
        <row r="157">
          <cell r="B157">
            <v>147</v>
          </cell>
          <cell r="C157" t="str">
            <v>PLATO C5 DESCARTABLE</v>
          </cell>
          <cell r="D157" t="str">
            <v>UNID</v>
          </cell>
          <cell r="E157">
            <v>350</v>
          </cell>
        </row>
        <row r="158">
          <cell r="B158">
            <v>148</v>
          </cell>
          <cell r="C158" t="str">
            <v>CAJAS DE CERVEZA</v>
          </cell>
          <cell r="D158" t="str">
            <v>UNID</v>
          </cell>
          <cell r="E158">
            <v>19</v>
          </cell>
        </row>
        <row r="159">
          <cell r="B159">
            <v>149</v>
          </cell>
          <cell r="C159" t="str">
            <v>TV</v>
          </cell>
          <cell r="D159" t="str">
            <v>UNID</v>
          </cell>
          <cell r="E159">
            <v>4</v>
          </cell>
        </row>
        <row r="160">
          <cell r="B160">
            <v>150</v>
          </cell>
          <cell r="C160" t="str">
            <v>PARLANTE JBL</v>
          </cell>
          <cell r="D160" t="str">
            <v>UNID</v>
          </cell>
          <cell r="E160">
            <v>1</v>
          </cell>
        </row>
        <row r="161">
          <cell r="B161">
            <v>151</v>
          </cell>
          <cell r="C161" t="str">
            <v>OLLAS DE ARCILLA</v>
          </cell>
          <cell r="D161" t="str">
            <v>UNID</v>
          </cell>
          <cell r="E161">
            <v>10</v>
          </cell>
        </row>
        <row r="162">
          <cell r="B162">
            <v>152</v>
          </cell>
          <cell r="C162" t="str">
            <v>PLATOS DE ARCILLA</v>
          </cell>
          <cell r="D162" t="str">
            <v>UNID</v>
          </cell>
          <cell r="E162">
            <v>6</v>
          </cell>
        </row>
        <row r="163">
          <cell r="B163">
            <v>153</v>
          </cell>
          <cell r="C163" t="str">
            <v>ENBUDO DE CULTURA</v>
          </cell>
          <cell r="D163" t="str">
            <v>UNID</v>
          </cell>
          <cell r="E163">
            <v>1</v>
          </cell>
        </row>
        <row r="164">
          <cell r="B164">
            <v>154</v>
          </cell>
          <cell r="C164" t="str">
            <v>PLATO DE PIEDRA</v>
          </cell>
          <cell r="D164" t="str">
            <v>UNID</v>
          </cell>
          <cell r="E164">
            <v>1</v>
          </cell>
        </row>
        <row r="165">
          <cell r="B165">
            <v>155</v>
          </cell>
          <cell r="C165" t="str">
            <v>BOLSA DE SELLADO 20X22CM</v>
          </cell>
          <cell r="D165" t="str">
            <v>PAQT.</v>
          </cell>
          <cell r="E165">
            <v>44</v>
          </cell>
        </row>
        <row r="166">
          <cell r="B166">
            <v>156</v>
          </cell>
          <cell r="C166" t="str">
            <v>BOLSA DE SELLADO 15X25CM</v>
          </cell>
          <cell r="D166" t="str">
            <v>PAQT.</v>
          </cell>
          <cell r="E166">
            <v>9</v>
          </cell>
        </row>
        <row r="167">
          <cell r="B167">
            <v>157</v>
          </cell>
          <cell r="C167" t="str">
            <v>BOLSA DE SELLADO 15X20CM</v>
          </cell>
          <cell r="D167" t="str">
            <v>PAQT.</v>
          </cell>
          <cell r="E167">
            <v>7</v>
          </cell>
        </row>
        <row r="168">
          <cell r="B168">
            <v>158</v>
          </cell>
          <cell r="C168" t="str">
            <v>BOLSA DE SELLADO 20X33CM</v>
          </cell>
          <cell r="D168" t="str">
            <v>PAQT.</v>
          </cell>
          <cell r="E168">
            <v>8</v>
          </cell>
        </row>
        <row r="169">
          <cell r="B169">
            <v>159</v>
          </cell>
          <cell r="C169" t="str">
            <v>BOLSA DE SELLADO 24X38CM</v>
          </cell>
          <cell r="D169" t="str">
            <v>PAQT.</v>
          </cell>
          <cell r="E169">
            <v>7</v>
          </cell>
        </row>
        <row r="170">
          <cell r="B170">
            <v>160</v>
          </cell>
          <cell r="C170" t="str">
            <v>BOTELLA DELIVERY</v>
          </cell>
          <cell r="D170" t="str">
            <v>UNID</v>
          </cell>
          <cell r="E170">
            <v>475</v>
          </cell>
        </row>
        <row r="171">
          <cell r="B171">
            <v>161</v>
          </cell>
          <cell r="C171" t="str">
            <v>BOTELLA DE 350ML</v>
          </cell>
          <cell r="D171" t="str">
            <v>UNID</v>
          </cell>
          <cell r="E171">
            <v>1000</v>
          </cell>
        </row>
        <row r="172">
          <cell r="B172">
            <v>162</v>
          </cell>
          <cell r="C172" t="str">
            <v>BOTELLA TAXISTA</v>
          </cell>
          <cell r="D172" t="str">
            <v>UNID</v>
          </cell>
          <cell r="E172">
            <v>400</v>
          </cell>
        </row>
        <row r="173">
          <cell r="B173">
            <v>163</v>
          </cell>
          <cell r="C173" t="str">
            <v>POPOTE PANACOTA PLANA</v>
          </cell>
          <cell r="D173" t="str">
            <v>PAQT.</v>
          </cell>
          <cell r="E173">
            <v>32</v>
          </cell>
        </row>
        <row r="174">
          <cell r="B174">
            <v>164</v>
          </cell>
          <cell r="C174" t="str">
            <v>POPOTE PANACOTA DOMO</v>
          </cell>
          <cell r="D174" t="str">
            <v>PAQT.</v>
          </cell>
          <cell r="E174">
            <v>36</v>
          </cell>
        </row>
        <row r="175">
          <cell r="B175">
            <v>165</v>
          </cell>
          <cell r="C175" t="str">
            <v>TAPER DE MAZAMORRA</v>
          </cell>
          <cell r="D175" t="str">
            <v>UNID</v>
          </cell>
          <cell r="E175">
            <v>37</v>
          </cell>
        </row>
        <row r="176">
          <cell r="B176">
            <v>166</v>
          </cell>
          <cell r="C176" t="str">
            <v>POPOTE GRUESO</v>
          </cell>
          <cell r="D176" t="str">
            <v>PAQT.</v>
          </cell>
          <cell r="E176">
            <v>11</v>
          </cell>
        </row>
        <row r="177">
          <cell r="B177">
            <v>167</v>
          </cell>
          <cell r="C177" t="str">
            <v>CUCHARAS DE POSTRE</v>
          </cell>
          <cell r="D177" t="str">
            <v>PAQT.</v>
          </cell>
          <cell r="E177">
            <v>11</v>
          </cell>
        </row>
        <row r="178">
          <cell r="B178">
            <v>168</v>
          </cell>
          <cell r="C178" t="str">
            <v>DESCARTABLE CUCHARILLAS DE PLASTICO</v>
          </cell>
          <cell r="D178" t="str">
            <v>PAQT.</v>
          </cell>
          <cell r="E178">
            <v>21</v>
          </cell>
        </row>
        <row r="179">
          <cell r="B179">
            <v>169</v>
          </cell>
          <cell r="C179" t="str">
            <v>DESCARTABLE VASO DE CAFÉ 6ONZ</v>
          </cell>
          <cell r="D179" t="str">
            <v>PAQT.</v>
          </cell>
          <cell r="E179">
            <v>87</v>
          </cell>
        </row>
        <row r="180">
          <cell r="B180">
            <v>170</v>
          </cell>
          <cell r="C180" t="str">
            <v>VASO ACRILICO 5ONZ</v>
          </cell>
          <cell r="D180" t="str">
            <v>PAQT.</v>
          </cell>
          <cell r="E180">
            <v>19</v>
          </cell>
        </row>
        <row r="181">
          <cell r="B181">
            <v>171</v>
          </cell>
          <cell r="C181" t="str">
            <v>VASO ACRILICO 12ONZ</v>
          </cell>
          <cell r="D181" t="str">
            <v>PAQT.</v>
          </cell>
          <cell r="E181">
            <v>35</v>
          </cell>
        </row>
        <row r="182">
          <cell r="B182">
            <v>172</v>
          </cell>
          <cell r="C182" t="str">
            <v>BOLSA DE CUBIERTO</v>
          </cell>
          <cell r="D182" t="str">
            <v>PAQT.</v>
          </cell>
          <cell r="E182">
            <v>96</v>
          </cell>
        </row>
        <row r="183">
          <cell r="B183">
            <v>173</v>
          </cell>
          <cell r="C183" t="str">
            <v>TAPER DE 8ONZ</v>
          </cell>
          <cell r="D183" t="str">
            <v>PAQT.</v>
          </cell>
          <cell r="E183">
            <v>40</v>
          </cell>
        </row>
        <row r="184">
          <cell r="B184">
            <v>174</v>
          </cell>
          <cell r="C184" t="str">
            <v>VASO ACRILICO DE 10ONZ</v>
          </cell>
          <cell r="D184" t="str">
            <v>PAQT.</v>
          </cell>
          <cell r="E184">
            <v>10</v>
          </cell>
        </row>
        <row r="185">
          <cell r="B185">
            <v>175</v>
          </cell>
          <cell r="C185" t="str">
            <v>VASO ACRILICO 7ONZ</v>
          </cell>
          <cell r="D185" t="str">
            <v>PAQT.</v>
          </cell>
          <cell r="E185">
            <v>8</v>
          </cell>
        </row>
        <row r="186">
          <cell r="B186">
            <v>176</v>
          </cell>
          <cell r="C186" t="str">
            <v>VASO ACRILICO 3ONZ</v>
          </cell>
          <cell r="D186" t="str">
            <v>PAQT.</v>
          </cell>
          <cell r="E186">
            <v>8</v>
          </cell>
        </row>
        <row r="187">
          <cell r="B187">
            <v>177</v>
          </cell>
          <cell r="C187" t="str">
            <v>TAPER DE 4ONZ</v>
          </cell>
          <cell r="D187" t="str">
            <v>PAQT.</v>
          </cell>
          <cell r="E187">
            <v>12</v>
          </cell>
        </row>
        <row r="188">
          <cell r="B188">
            <v>178</v>
          </cell>
          <cell r="C188" t="str">
            <v>CAMPANA EXIBIDORA</v>
          </cell>
          <cell r="D188" t="str">
            <v>UNID</v>
          </cell>
          <cell r="E188">
            <v>1</v>
          </cell>
        </row>
        <row r="189">
          <cell r="B189">
            <v>179</v>
          </cell>
          <cell r="C189" t="str">
            <v>LICUADORA MOTOR</v>
          </cell>
          <cell r="D189" t="str">
            <v>UNID</v>
          </cell>
          <cell r="E189">
            <v>10</v>
          </cell>
        </row>
        <row r="190">
          <cell r="B190">
            <v>180</v>
          </cell>
          <cell r="C190" t="str">
            <v>CORTINA</v>
          </cell>
          <cell r="D190" t="str">
            <v>UNID</v>
          </cell>
          <cell r="E190">
            <v>2</v>
          </cell>
        </row>
        <row r="191">
          <cell r="B191">
            <v>181</v>
          </cell>
          <cell r="C191" t="str">
            <v>SALCERA LISA DE 73 CM3</v>
          </cell>
          <cell r="D191" t="str">
            <v>UNID</v>
          </cell>
          <cell r="E191">
            <v>66</v>
          </cell>
        </row>
        <row r="192">
          <cell r="B192">
            <v>182</v>
          </cell>
          <cell r="C192" t="str">
            <v>CREMERA INDIVID 86CM3</v>
          </cell>
          <cell r="D192" t="str">
            <v>UNID</v>
          </cell>
          <cell r="E192">
            <v>12</v>
          </cell>
        </row>
        <row r="193">
          <cell r="B193">
            <v>183</v>
          </cell>
          <cell r="C193" t="str">
            <v>PLATO BANDEJA 40.5X17CM</v>
          </cell>
          <cell r="D193" t="str">
            <v>UNID</v>
          </cell>
          <cell r="E193">
            <v>11</v>
          </cell>
        </row>
        <row r="194">
          <cell r="B194">
            <v>184</v>
          </cell>
          <cell r="C194" t="str">
            <v>PLATO TAZA 303CM3</v>
          </cell>
          <cell r="D194" t="str">
            <v>UNID</v>
          </cell>
          <cell r="E194">
            <v>23</v>
          </cell>
        </row>
        <row r="195">
          <cell r="B195">
            <v>185</v>
          </cell>
          <cell r="C195" t="str">
            <v>PLATO PANDOCOUPE</v>
          </cell>
          <cell r="D195" t="str">
            <v>UNID</v>
          </cell>
          <cell r="E195">
            <v>20</v>
          </cell>
        </row>
        <row r="196">
          <cell r="B196">
            <v>186</v>
          </cell>
          <cell r="C196" t="str">
            <v>PLATO BOWL1005.5CM3</v>
          </cell>
          <cell r="D196" t="str">
            <v>UNID</v>
          </cell>
          <cell r="E196">
            <v>22</v>
          </cell>
        </row>
        <row r="197">
          <cell r="B197">
            <v>187</v>
          </cell>
          <cell r="C197" t="str">
            <v>PLATO HONDO INSTITUCIONAL 533.9CM3</v>
          </cell>
          <cell r="D197" t="str">
            <v>UNID</v>
          </cell>
          <cell r="E197">
            <v>23</v>
          </cell>
        </row>
        <row r="198">
          <cell r="B198">
            <v>188</v>
          </cell>
          <cell r="C198" t="str">
            <v>PLATO BANDEJA GRATINAR 23.7X12CM</v>
          </cell>
          <cell r="D198" t="str">
            <v>UNID</v>
          </cell>
          <cell r="E198">
            <v>16</v>
          </cell>
        </row>
        <row r="199">
          <cell r="B199">
            <v>189</v>
          </cell>
          <cell r="C199" t="str">
            <v>PEROLES USADOS</v>
          </cell>
          <cell r="D199" t="str">
            <v>UNID</v>
          </cell>
          <cell r="E199">
            <v>2</v>
          </cell>
        </row>
        <row r="200">
          <cell r="B200">
            <v>190</v>
          </cell>
          <cell r="C200" t="str">
            <v>FUENTE PARA HORNEAR</v>
          </cell>
          <cell r="D200" t="str">
            <v>UNID</v>
          </cell>
          <cell r="E200">
            <v>1</v>
          </cell>
        </row>
        <row r="201">
          <cell r="B201">
            <v>191</v>
          </cell>
          <cell r="C201" t="str">
            <v>MANGERA DE RIEGO</v>
          </cell>
          <cell r="D201" t="str">
            <v>ROLLO</v>
          </cell>
          <cell r="E201">
            <v>3</v>
          </cell>
        </row>
        <row r="202">
          <cell r="B202">
            <v>192</v>
          </cell>
          <cell r="C202" t="str">
            <v>RASTRILLO</v>
          </cell>
          <cell r="D202" t="str">
            <v>UNID</v>
          </cell>
          <cell r="E202">
            <v>2</v>
          </cell>
        </row>
        <row r="203">
          <cell r="B203">
            <v>193</v>
          </cell>
          <cell r="C203" t="str">
            <v>FRAUGUA</v>
          </cell>
          <cell r="D203" t="str">
            <v>UNID</v>
          </cell>
          <cell r="E203">
            <v>3</v>
          </cell>
        </row>
        <row r="204">
          <cell r="B204">
            <v>194</v>
          </cell>
          <cell r="C204" t="str">
            <v>SERRUCHO DE MADERA</v>
          </cell>
          <cell r="D204" t="str">
            <v>UNID</v>
          </cell>
          <cell r="E204">
            <v>2</v>
          </cell>
        </row>
        <row r="205">
          <cell r="B205">
            <v>195</v>
          </cell>
          <cell r="C205" t="str">
            <v>SIERRA METALICA</v>
          </cell>
          <cell r="D205" t="str">
            <v>UNID</v>
          </cell>
          <cell r="E205">
            <v>1</v>
          </cell>
        </row>
        <row r="206">
          <cell r="B206">
            <v>196</v>
          </cell>
          <cell r="C206" t="str">
            <v>TEMPLE FINO SINOLIT</v>
          </cell>
          <cell r="D206" t="str">
            <v>UNID</v>
          </cell>
          <cell r="E206">
            <v>2</v>
          </cell>
        </row>
        <row r="207">
          <cell r="B207">
            <v>197</v>
          </cell>
          <cell r="C207" t="str">
            <v>TUBOS DE CHIMENEA</v>
          </cell>
          <cell r="D207" t="str">
            <v>UNID</v>
          </cell>
          <cell r="E207">
            <v>2</v>
          </cell>
        </row>
        <row r="208">
          <cell r="B208">
            <v>198</v>
          </cell>
          <cell r="C208" t="str">
            <v>BARRETA</v>
          </cell>
          <cell r="D208" t="str">
            <v>UNID</v>
          </cell>
          <cell r="E208">
            <v>2</v>
          </cell>
        </row>
        <row r="209">
          <cell r="B209">
            <v>199</v>
          </cell>
          <cell r="C209" t="str">
            <v>PICO</v>
          </cell>
          <cell r="D209" t="str">
            <v>UNID</v>
          </cell>
          <cell r="E209">
            <v>2</v>
          </cell>
        </row>
        <row r="210">
          <cell r="B210">
            <v>200</v>
          </cell>
          <cell r="C210" t="str">
            <v>HACHA</v>
          </cell>
          <cell r="D210" t="str">
            <v>UNID</v>
          </cell>
          <cell r="E210">
            <v>1</v>
          </cell>
        </row>
        <row r="211">
          <cell r="B211">
            <v>201</v>
          </cell>
          <cell r="C211" t="str">
            <v>MALLA DE CERCO</v>
          </cell>
          <cell r="D211" t="str">
            <v>UNID</v>
          </cell>
          <cell r="E211">
            <v>1</v>
          </cell>
        </row>
        <row r="212">
          <cell r="B212">
            <v>202</v>
          </cell>
          <cell r="C212" t="str">
            <v>MACHETE</v>
          </cell>
          <cell r="D212" t="str">
            <v>UNID</v>
          </cell>
          <cell r="E212">
            <v>1</v>
          </cell>
        </row>
        <row r="213">
          <cell r="B213">
            <v>203</v>
          </cell>
          <cell r="C213" t="str">
            <v>DISCO DE CORTE</v>
          </cell>
          <cell r="D213" t="str">
            <v>UNID</v>
          </cell>
          <cell r="E213">
            <v>3</v>
          </cell>
        </row>
        <row r="214">
          <cell r="B214">
            <v>204</v>
          </cell>
          <cell r="C214" t="str">
            <v>PLANCHA PARA BATIR</v>
          </cell>
          <cell r="D214" t="str">
            <v>UNID</v>
          </cell>
          <cell r="E214">
            <v>1</v>
          </cell>
        </row>
        <row r="215">
          <cell r="B215">
            <v>205</v>
          </cell>
          <cell r="C215" t="str">
            <v>PISTOLA CALAFATEADORA</v>
          </cell>
          <cell r="D215" t="str">
            <v>UNID</v>
          </cell>
          <cell r="E215">
            <v>1</v>
          </cell>
        </row>
        <row r="216">
          <cell r="B216">
            <v>206</v>
          </cell>
          <cell r="C216" t="str">
            <v>ABONO HUMUS</v>
          </cell>
          <cell r="D216" t="str">
            <v>UNID</v>
          </cell>
          <cell r="E216">
            <v>2</v>
          </cell>
        </row>
        <row r="217">
          <cell r="B217">
            <v>207</v>
          </cell>
          <cell r="C217" t="str">
            <v>COMBA</v>
          </cell>
          <cell r="D217" t="str">
            <v>UNID</v>
          </cell>
          <cell r="E217">
            <v>3</v>
          </cell>
        </row>
        <row r="218">
          <cell r="B218">
            <v>208</v>
          </cell>
          <cell r="C218" t="str">
            <v>COCINA DE GAZ</v>
          </cell>
          <cell r="D218" t="str">
            <v>UNID</v>
          </cell>
          <cell r="E218">
            <v>2</v>
          </cell>
        </row>
        <row r="219">
          <cell r="B219">
            <v>209</v>
          </cell>
          <cell r="C219" t="str">
            <v>ISQUINERO</v>
          </cell>
          <cell r="D219" t="str">
            <v>UNID</v>
          </cell>
          <cell r="E219">
            <v>2</v>
          </cell>
        </row>
        <row r="220">
          <cell r="B220">
            <v>210</v>
          </cell>
          <cell r="C220" t="str">
            <v>ROLLO DE ALAMBRE</v>
          </cell>
          <cell r="D220" t="str">
            <v>UNID</v>
          </cell>
          <cell r="E220">
            <v>1</v>
          </cell>
        </row>
        <row r="221">
          <cell r="B221">
            <v>211</v>
          </cell>
          <cell r="C221" t="str">
            <v>CRESO</v>
          </cell>
          <cell r="D221" t="str">
            <v>GALON</v>
          </cell>
          <cell r="E221">
            <v>8</v>
          </cell>
        </row>
        <row r="222">
          <cell r="B222">
            <v>212</v>
          </cell>
          <cell r="C222" t="str">
            <v>JAULA DE CUYES</v>
          </cell>
          <cell r="D222" t="str">
            <v>UNID</v>
          </cell>
          <cell r="E222">
            <v>4</v>
          </cell>
        </row>
        <row r="223">
          <cell r="B223">
            <v>213</v>
          </cell>
          <cell r="C223" t="str">
            <v>PUERTA DE MADERA</v>
          </cell>
          <cell r="D223" t="str">
            <v>UNID</v>
          </cell>
          <cell r="E223">
            <v>8</v>
          </cell>
        </row>
        <row r="224">
          <cell r="B224">
            <v>214</v>
          </cell>
          <cell r="C224" t="str">
            <v>MUEBLE EXPANDIBLE</v>
          </cell>
          <cell r="D224" t="str">
            <v>UNID</v>
          </cell>
          <cell r="E224">
            <v>2</v>
          </cell>
        </row>
        <row r="225">
          <cell r="B225">
            <v>215</v>
          </cell>
          <cell r="C225" t="str">
            <v>TINER</v>
          </cell>
          <cell r="D225" t="str">
            <v>GALON</v>
          </cell>
          <cell r="E225">
            <v>19</v>
          </cell>
        </row>
        <row r="226">
          <cell r="B226">
            <v>216</v>
          </cell>
          <cell r="C226" t="str">
            <v>LAVAMANOS</v>
          </cell>
          <cell r="D226" t="str">
            <v>UNID</v>
          </cell>
          <cell r="E226">
            <v>4</v>
          </cell>
        </row>
        <row r="227">
          <cell r="B227">
            <v>217</v>
          </cell>
          <cell r="C227" t="str">
            <v>PAPELERA DE BAÑO</v>
          </cell>
          <cell r="D227" t="str">
            <v>UNID</v>
          </cell>
          <cell r="E227">
            <v>5</v>
          </cell>
        </row>
        <row r="228">
          <cell r="B228">
            <v>218</v>
          </cell>
          <cell r="C228" t="str">
            <v>DISPENSADOR DE PAPEL</v>
          </cell>
          <cell r="D228" t="str">
            <v>UNID</v>
          </cell>
          <cell r="E228">
            <v>4</v>
          </cell>
        </row>
        <row r="229">
          <cell r="B229">
            <v>219</v>
          </cell>
          <cell r="C229" t="str">
            <v>ORINARIO</v>
          </cell>
          <cell r="D229" t="str">
            <v>UNID</v>
          </cell>
          <cell r="E229">
            <v>2</v>
          </cell>
        </row>
        <row r="230">
          <cell r="B230">
            <v>220</v>
          </cell>
          <cell r="C230" t="str">
            <v>TACHO 150 LT</v>
          </cell>
          <cell r="D230" t="str">
            <v>UNID</v>
          </cell>
          <cell r="E230">
            <v>6</v>
          </cell>
        </row>
        <row r="231">
          <cell r="B231">
            <v>221</v>
          </cell>
          <cell r="C231" t="str">
            <v>TACHO 90 LT</v>
          </cell>
          <cell r="D231" t="str">
            <v>UNID</v>
          </cell>
          <cell r="E231">
            <v>6</v>
          </cell>
        </row>
        <row r="232">
          <cell r="B232">
            <v>222</v>
          </cell>
          <cell r="C232" t="str">
            <v>INODORO</v>
          </cell>
          <cell r="D232" t="str">
            <v>UNID</v>
          </cell>
          <cell r="E232">
            <v>3</v>
          </cell>
        </row>
        <row r="233">
          <cell r="B233">
            <v>223</v>
          </cell>
          <cell r="C233" t="str">
            <v>PEDESTAL DE LAVAMANO</v>
          </cell>
          <cell r="D233" t="str">
            <v>UNID</v>
          </cell>
          <cell r="E233">
            <v>3</v>
          </cell>
        </row>
        <row r="234">
          <cell r="B234">
            <v>224</v>
          </cell>
          <cell r="C234" t="str">
            <v>TANQUE DE INODORO</v>
          </cell>
          <cell r="D234" t="str">
            <v>UNID</v>
          </cell>
          <cell r="E234">
            <v>3</v>
          </cell>
        </row>
        <row r="235">
          <cell r="B235">
            <v>225</v>
          </cell>
          <cell r="C235" t="str">
            <v>MESA CIRCULAR PLEJABLE</v>
          </cell>
          <cell r="D235" t="str">
            <v>UNID</v>
          </cell>
          <cell r="E235">
            <v>2</v>
          </cell>
        </row>
        <row r="236">
          <cell r="B236">
            <v>226</v>
          </cell>
          <cell r="C236" t="str">
            <v>MESA RECTANGULAR PLEGABLE</v>
          </cell>
          <cell r="D236" t="str">
            <v>UNID</v>
          </cell>
          <cell r="E236">
            <v>5</v>
          </cell>
        </row>
        <row r="237">
          <cell r="B237">
            <v>227</v>
          </cell>
          <cell r="C237" t="str">
            <v>MESA DE PLASTICO</v>
          </cell>
          <cell r="D237" t="str">
            <v>UNID</v>
          </cell>
          <cell r="E237">
            <v>2</v>
          </cell>
        </row>
        <row r="238">
          <cell r="B238">
            <v>228</v>
          </cell>
          <cell r="C238" t="str">
            <v>CABALLETE</v>
          </cell>
          <cell r="D238" t="str">
            <v>UNID</v>
          </cell>
          <cell r="E238">
            <v>1</v>
          </cell>
        </row>
        <row r="239">
          <cell r="B239">
            <v>229</v>
          </cell>
          <cell r="C239" t="str">
            <v>LAVADORA</v>
          </cell>
          <cell r="D239" t="str">
            <v>UNID</v>
          </cell>
          <cell r="E239">
            <v>1</v>
          </cell>
        </row>
        <row r="240">
          <cell r="B240">
            <v>230</v>
          </cell>
          <cell r="C240" t="str">
            <v>COLADOR GRANDE PARA FRITURAS</v>
          </cell>
          <cell r="D240" t="str">
            <v>UNID</v>
          </cell>
          <cell r="E240">
            <v>7</v>
          </cell>
        </row>
        <row r="241">
          <cell r="B241">
            <v>231</v>
          </cell>
          <cell r="C241" t="str">
            <v>MOLINO DE MANO</v>
          </cell>
          <cell r="D241" t="str">
            <v>UNID</v>
          </cell>
          <cell r="E241">
            <v>1</v>
          </cell>
        </row>
        <row r="242">
          <cell r="B242">
            <v>232</v>
          </cell>
          <cell r="C242" t="str">
            <v>BANDEJA DE MOSOS</v>
          </cell>
          <cell r="D242" t="str">
            <v>UNID</v>
          </cell>
          <cell r="E242">
            <v>10</v>
          </cell>
        </row>
        <row r="243">
          <cell r="B243">
            <v>233</v>
          </cell>
          <cell r="C243" t="str">
            <v>PARRILLERAS</v>
          </cell>
          <cell r="D243" t="str">
            <v>UNID</v>
          </cell>
          <cell r="E243">
            <v>2</v>
          </cell>
        </row>
        <row r="244">
          <cell r="B244">
            <v>234</v>
          </cell>
          <cell r="C244" t="str">
            <v>COCINAS DE CILINDRO</v>
          </cell>
          <cell r="D244" t="str">
            <v>UNID</v>
          </cell>
          <cell r="E244">
            <v>2</v>
          </cell>
        </row>
        <row r="245">
          <cell r="B245">
            <v>235</v>
          </cell>
          <cell r="C245" t="str">
            <v>TANQUE DE AGUA 500L</v>
          </cell>
          <cell r="D245" t="str">
            <v>UNID</v>
          </cell>
          <cell r="E245">
            <v>1</v>
          </cell>
        </row>
        <row r="246">
          <cell r="B246">
            <v>236</v>
          </cell>
          <cell r="C246" t="str">
            <v>CALAMINA TRANSLUCIDA</v>
          </cell>
          <cell r="D246" t="str">
            <v>UNID</v>
          </cell>
          <cell r="E246">
            <v>1</v>
          </cell>
        </row>
        <row r="247">
          <cell r="B247">
            <v>237</v>
          </cell>
          <cell r="C247" t="str">
            <v>PLATO TENDIDO DE ALMUERZO</v>
          </cell>
          <cell r="D247" t="str">
            <v>UNID</v>
          </cell>
          <cell r="E247">
            <v>282</v>
          </cell>
        </row>
        <row r="248">
          <cell r="B248">
            <v>238</v>
          </cell>
          <cell r="C248" t="str">
            <v>PLATO CON BLONDAS</v>
          </cell>
          <cell r="D248" t="str">
            <v>UNID</v>
          </cell>
          <cell r="E248">
            <v>3</v>
          </cell>
        </row>
        <row r="249">
          <cell r="B249">
            <v>239</v>
          </cell>
          <cell r="C249" t="str">
            <v>TENDIDO NEGRO MEDIANO</v>
          </cell>
          <cell r="D249" t="str">
            <v>UNID</v>
          </cell>
          <cell r="E249">
            <v>5</v>
          </cell>
        </row>
        <row r="250">
          <cell r="B250">
            <v>240</v>
          </cell>
          <cell r="C250" t="str">
            <v>PLATO CUADRO REDONDEADO HONDO</v>
          </cell>
          <cell r="D250" t="str">
            <v>UNID</v>
          </cell>
          <cell r="E250">
            <v>6</v>
          </cell>
        </row>
        <row r="251">
          <cell r="B251">
            <v>241</v>
          </cell>
          <cell r="C251" t="str">
            <v>PLATO TENDIDO PEQUEÑO</v>
          </cell>
          <cell r="D251" t="str">
            <v>UNID</v>
          </cell>
          <cell r="E251">
            <v>28</v>
          </cell>
        </row>
        <row r="252">
          <cell r="B252">
            <v>242</v>
          </cell>
          <cell r="C252" t="str">
            <v>PLATO BASE DE TAZA</v>
          </cell>
          <cell r="D252" t="str">
            <v>UNID</v>
          </cell>
          <cell r="E252">
            <v>4</v>
          </cell>
        </row>
        <row r="253">
          <cell r="B253">
            <v>243</v>
          </cell>
          <cell r="C253" t="str">
            <v>PLATO TENDIDO NEGRO GRANDE</v>
          </cell>
          <cell r="D253" t="str">
            <v>UNID</v>
          </cell>
          <cell r="E253">
            <v>26</v>
          </cell>
        </row>
        <row r="254">
          <cell r="B254">
            <v>244</v>
          </cell>
          <cell r="C254" t="str">
            <v>PLATO CUADRADO TENDIDO</v>
          </cell>
          <cell r="D254" t="str">
            <v>UNID</v>
          </cell>
          <cell r="E254">
            <v>10</v>
          </cell>
        </row>
        <row r="255">
          <cell r="B255">
            <v>245</v>
          </cell>
          <cell r="C255" t="str">
            <v>PLATO BLACO TENDIDO CORELLE</v>
          </cell>
          <cell r="D255" t="str">
            <v>UNID</v>
          </cell>
          <cell r="E255">
            <v>92</v>
          </cell>
        </row>
        <row r="256">
          <cell r="B256">
            <v>246</v>
          </cell>
          <cell r="C256" t="str">
            <v>PLATO BANDERA PEQUEÑO</v>
          </cell>
          <cell r="D256" t="str">
            <v>UNID</v>
          </cell>
          <cell r="E256">
            <v>14</v>
          </cell>
        </row>
        <row r="257">
          <cell r="B257">
            <v>247</v>
          </cell>
          <cell r="C257" t="str">
            <v>PLATO BANDERA GRANDE</v>
          </cell>
          <cell r="D257" t="str">
            <v>UNID</v>
          </cell>
          <cell r="E257">
            <v>12</v>
          </cell>
        </row>
        <row r="258">
          <cell r="B258">
            <v>248</v>
          </cell>
          <cell r="C258" t="str">
            <v>PLATO TENDIDO PLOMO</v>
          </cell>
          <cell r="D258" t="str">
            <v>UNID</v>
          </cell>
          <cell r="E258">
            <v>4</v>
          </cell>
        </row>
        <row r="259">
          <cell r="B259">
            <v>249</v>
          </cell>
          <cell r="C259" t="str">
            <v>PLATO CON DEVICION</v>
          </cell>
          <cell r="D259" t="str">
            <v>UNID</v>
          </cell>
          <cell r="E259">
            <v>4</v>
          </cell>
        </row>
        <row r="260">
          <cell r="B260">
            <v>250</v>
          </cell>
          <cell r="C260" t="str">
            <v>BOWL DE  VIDRIO</v>
          </cell>
          <cell r="D260" t="str">
            <v>UNID</v>
          </cell>
          <cell r="E260">
            <v>13</v>
          </cell>
        </row>
        <row r="261">
          <cell r="B261">
            <v>251</v>
          </cell>
          <cell r="C261" t="str">
            <v>BOWL DE LOZA</v>
          </cell>
          <cell r="D261" t="str">
            <v>UNID</v>
          </cell>
          <cell r="E261">
            <v>3</v>
          </cell>
        </row>
        <row r="262">
          <cell r="B262">
            <v>252</v>
          </cell>
          <cell r="C262" t="str">
            <v>PLATO HONDO SOPA</v>
          </cell>
          <cell r="D262" t="str">
            <v>UNID</v>
          </cell>
          <cell r="E262">
            <v>79</v>
          </cell>
        </row>
        <row r="263">
          <cell r="B263">
            <v>253</v>
          </cell>
          <cell r="C263" t="str">
            <v>PLATO HONDO SOPA PLUS</v>
          </cell>
          <cell r="D263" t="str">
            <v>UNID</v>
          </cell>
          <cell r="E263">
            <v>6</v>
          </cell>
        </row>
        <row r="264">
          <cell r="B264">
            <v>254</v>
          </cell>
          <cell r="C264" t="str">
            <v>PLATO HONDO SOPA LESS</v>
          </cell>
          <cell r="D264" t="str">
            <v>UNID</v>
          </cell>
          <cell r="E264">
            <v>11</v>
          </cell>
        </row>
        <row r="265">
          <cell r="B265">
            <v>255</v>
          </cell>
          <cell r="C265" t="str">
            <v>PLATO DE VIDRO DORADO</v>
          </cell>
          <cell r="D265" t="str">
            <v>UNID</v>
          </cell>
          <cell r="E265">
            <v>45</v>
          </cell>
        </row>
        <row r="266">
          <cell r="B266">
            <v>256</v>
          </cell>
          <cell r="C266" t="str">
            <v>BOWL DE VIDRIO DORADO</v>
          </cell>
          <cell r="D266" t="str">
            <v>UNID</v>
          </cell>
          <cell r="E266">
            <v>2</v>
          </cell>
        </row>
        <row r="267">
          <cell r="B267">
            <v>257</v>
          </cell>
          <cell r="C267" t="str">
            <v>MOLINILLO</v>
          </cell>
          <cell r="D267" t="str">
            <v>UNID</v>
          </cell>
          <cell r="E267">
            <v>6</v>
          </cell>
        </row>
        <row r="268">
          <cell r="B268">
            <v>258</v>
          </cell>
          <cell r="C268" t="str">
            <v>BALDE DE ACEITE</v>
          </cell>
          <cell r="D268" t="str">
            <v>UNID</v>
          </cell>
          <cell r="E268">
            <v>197</v>
          </cell>
        </row>
        <row r="269">
          <cell r="B269">
            <v>259</v>
          </cell>
          <cell r="C269" t="str">
            <v>OLLA DE 50 CM ALTURA</v>
          </cell>
          <cell r="D269" t="str">
            <v>UNID</v>
          </cell>
          <cell r="E269">
            <v>2</v>
          </cell>
        </row>
        <row r="270">
          <cell r="B270">
            <v>260</v>
          </cell>
          <cell r="C270" t="str">
            <v>PEROLES 51CM DIAMETRO</v>
          </cell>
          <cell r="D270" t="str">
            <v>UNID</v>
          </cell>
          <cell r="E270">
            <v>5</v>
          </cell>
        </row>
        <row r="271">
          <cell r="B271">
            <v>261</v>
          </cell>
          <cell r="C271" t="str">
            <v>PEROLES DE 61CM DE DIAMETRO</v>
          </cell>
          <cell r="D271" t="str">
            <v>UNID</v>
          </cell>
          <cell r="E271">
            <v>3</v>
          </cell>
        </row>
        <row r="272">
          <cell r="B272">
            <v>262</v>
          </cell>
          <cell r="C272" t="str">
            <v>OLLAS DE 30CN ALTURA</v>
          </cell>
          <cell r="D272" t="str">
            <v>UNID</v>
          </cell>
          <cell r="E272">
            <v>2</v>
          </cell>
        </row>
        <row r="273">
          <cell r="B273">
            <v>263</v>
          </cell>
          <cell r="C273" t="str">
            <v>PELADORES DE CUY</v>
          </cell>
          <cell r="D273" t="str">
            <v>UNID</v>
          </cell>
          <cell r="E273">
            <v>3</v>
          </cell>
        </row>
        <row r="274">
          <cell r="B274">
            <v>264</v>
          </cell>
          <cell r="C274" t="str">
            <v>LICAUDORA ACERO GRANDE</v>
          </cell>
          <cell r="D274" t="str">
            <v>UNID</v>
          </cell>
          <cell r="E274">
            <v>2</v>
          </cell>
        </row>
        <row r="275">
          <cell r="B275">
            <v>265</v>
          </cell>
          <cell r="C275" t="str">
            <v>TABLAS DE PICAR</v>
          </cell>
          <cell r="D275" t="str">
            <v>UNID</v>
          </cell>
          <cell r="E275">
            <v>2</v>
          </cell>
        </row>
        <row r="276">
          <cell r="B276">
            <v>266</v>
          </cell>
          <cell r="C276" t="str">
            <v>SARTEN CHINO</v>
          </cell>
          <cell r="D276" t="str">
            <v>UNID</v>
          </cell>
          <cell r="E276">
            <v>1</v>
          </cell>
        </row>
        <row r="277">
          <cell r="B277">
            <v>267</v>
          </cell>
          <cell r="C277" t="str">
            <v>MOLINO DE CARNE</v>
          </cell>
          <cell r="D277" t="str">
            <v>UNID</v>
          </cell>
          <cell r="E277">
            <v>1</v>
          </cell>
        </row>
        <row r="278">
          <cell r="B278">
            <v>268</v>
          </cell>
          <cell r="C278" t="str">
            <v>TEFLON USADO</v>
          </cell>
          <cell r="D278" t="str">
            <v>UNID</v>
          </cell>
          <cell r="E278">
            <v>2</v>
          </cell>
        </row>
        <row r="279">
          <cell r="B279">
            <v>269</v>
          </cell>
          <cell r="C279" t="str">
            <v>MOLINO ELECTRICO</v>
          </cell>
          <cell r="D279" t="str">
            <v>UNID</v>
          </cell>
          <cell r="E279">
            <v>1</v>
          </cell>
        </row>
        <row r="280">
          <cell r="B280">
            <v>270</v>
          </cell>
          <cell r="C280" t="str">
            <v>TAPER DE CONSERVA 12L</v>
          </cell>
          <cell r="D280" t="str">
            <v>UNID</v>
          </cell>
          <cell r="E280">
            <v>3</v>
          </cell>
        </row>
        <row r="281">
          <cell r="B281">
            <v>271</v>
          </cell>
          <cell r="C281" t="str">
            <v>ESPUMADERA</v>
          </cell>
          <cell r="D281" t="str">
            <v>UNID</v>
          </cell>
          <cell r="E281">
            <v>3</v>
          </cell>
        </row>
        <row r="282">
          <cell r="B282">
            <v>272</v>
          </cell>
          <cell r="C282" t="str">
            <v>ESPUMADERA CHINO</v>
          </cell>
          <cell r="D282" t="str">
            <v>UNID</v>
          </cell>
          <cell r="E282">
            <v>2</v>
          </cell>
        </row>
        <row r="283">
          <cell r="B283">
            <v>273</v>
          </cell>
          <cell r="C283" t="str">
            <v>VASO DE LICUADORA</v>
          </cell>
          <cell r="D283" t="str">
            <v>UNID</v>
          </cell>
          <cell r="E283">
            <v>5</v>
          </cell>
        </row>
        <row r="284">
          <cell r="B284">
            <v>274</v>
          </cell>
          <cell r="C284" t="str">
            <v>FUENTES DE ACERO USADOS</v>
          </cell>
          <cell r="D284" t="str">
            <v>UNID</v>
          </cell>
          <cell r="E284">
            <v>29</v>
          </cell>
        </row>
        <row r="285">
          <cell r="B285">
            <v>275</v>
          </cell>
          <cell r="C285" t="str">
            <v>COLDADOR DE ACEITE</v>
          </cell>
          <cell r="D285" t="str">
            <v>UNID</v>
          </cell>
          <cell r="E285">
            <v>1</v>
          </cell>
        </row>
        <row r="286">
          <cell r="B286">
            <v>276</v>
          </cell>
          <cell r="C286" t="str">
            <v>BOWL DE VIDRIO 29DIAMETRO</v>
          </cell>
          <cell r="D286" t="str">
            <v>UNID</v>
          </cell>
          <cell r="E286">
            <v>1</v>
          </cell>
        </row>
        <row r="287">
          <cell r="B287">
            <v>277</v>
          </cell>
          <cell r="C287" t="str">
            <v>MAQUINA PROCESADOR DE ALIMENTOS </v>
          </cell>
          <cell r="D287" t="str">
            <v>UNID</v>
          </cell>
          <cell r="E287">
            <v>1</v>
          </cell>
        </row>
        <row r="288">
          <cell r="B288">
            <v>278</v>
          </cell>
          <cell r="C288" t="str">
            <v>CUCHILLO DE TORTA</v>
          </cell>
          <cell r="D288" t="str">
            <v>UNID</v>
          </cell>
          <cell r="E288">
            <v>3</v>
          </cell>
        </row>
        <row r="289">
          <cell r="B289">
            <v>279</v>
          </cell>
          <cell r="C289" t="str">
            <v>DESTAPADOR DE BALDES</v>
          </cell>
          <cell r="D289" t="str">
            <v>UNID</v>
          </cell>
          <cell r="E289">
            <v>1</v>
          </cell>
        </row>
        <row r="290">
          <cell r="B290">
            <v>280</v>
          </cell>
          <cell r="C290" t="str">
            <v>PELADORA DE PAPA</v>
          </cell>
          <cell r="D290" t="str">
            <v>UNID</v>
          </cell>
          <cell r="E290">
            <v>1</v>
          </cell>
        </row>
        <row r="291">
          <cell r="B291">
            <v>281</v>
          </cell>
          <cell r="C291" t="str">
            <v>EXPRIMIDORA DE NARANJA</v>
          </cell>
          <cell r="D291" t="str">
            <v>UNID</v>
          </cell>
          <cell r="E291">
            <v>2</v>
          </cell>
        </row>
        <row r="292">
          <cell r="B292">
            <v>282</v>
          </cell>
          <cell r="C292" t="str">
            <v>CUCHARON GANCHO</v>
          </cell>
          <cell r="D292" t="str">
            <v>UNID</v>
          </cell>
          <cell r="E292">
            <v>2</v>
          </cell>
        </row>
        <row r="293">
          <cell r="B293">
            <v>283</v>
          </cell>
          <cell r="C293" t="str">
            <v>PINZA DE DECORACION </v>
          </cell>
          <cell r="D293" t="str">
            <v>UNID</v>
          </cell>
          <cell r="E293">
            <v>1</v>
          </cell>
        </row>
        <row r="294">
          <cell r="B294">
            <v>284</v>
          </cell>
          <cell r="C294" t="str">
            <v>PICADORA DE PAPA</v>
          </cell>
          <cell r="D294" t="str">
            <v>UNID</v>
          </cell>
          <cell r="E294">
            <v>1</v>
          </cell>
        </row>
        <row r="295">
          <cell r="B295">
            <v>285</v>
          </cell>
          <cell r="C295" t="str">
            <v>COCINA PARRILLA</v>
          </cell>
          <cell r="D295" t="str">
            <v>UNID</v>
          </cell>
          <cell r="E295">
            <v>1</v>
          </cell>
        </row>
        <row r="296">
          <cell r="B296">
            <v>286</v>
          </cell>
          <cell r="C296" t="str">
            <v>TACHO 250L</v>
          </cell>
          <cell r="D296" t="str">
            <v>UNID</v>
          </cell>
          <cell r="E296">
            <v>1</v>
          </cell>
        </row>
        <row r="297">
          <cell r="B297">
            <v>287</v>
          </cell>
          <cell r="C297" t="str">
            <v>CANASTAS TENDIDAS</v>
          </cell>
          <cell r="D297" t="str">
            <v>UNID</v>
          </cell>
          <cell r="E297">
            <v>3</v>
          </cell>
        </row>
        <row r="298">
          <cell r="B298">
            <v>288</v>
          </cell>
          <cell r="C298" t="str">
            <v>EMPAQUETADORA DE OLLA PRESION</v>
          </cell>
          <cell r="D298" t="str">
            <v>UNID</v>
          </cell>
          <cell r="E298">
            <v>2</v>
          </cell>
        </row>
        <row r="299">
          <cell r="B299">
            <v>289</v>
          </cell>
          <cell r="C299" t="str">
            <v>BALANZA HENKEL</v>
          </cell>
          <cell r="D299" t="str">
            <v>UNID</v>
          </cell>
          <cell r="E299">
            <v>1</v>
          </cell>
        </row>
        <row r="300">
          <cell r="B300">
            <v>290</v>
          </cell>
          <cell r="C300" t="str">
            <v>BALANZA DACOTA</v>
          </cell>
          <cell r="D300" t="str">
            <v>UNID</v>
          </cell>
          <cell r="E300">
            <v>1</v>
          </cell>
        </row>
        <row r="301">
          <cell r="B301">
            <v>291</v>
          </cell>
          <cell r="C301" t="str">
            <v>FAJA DE MOLINO</v>
          </cell>
          <cell r="D301" t="str">
            <v>UNID</v>
          </cell>
          <cell r="E301">
            <v>2</v>
          </cell>
        </row>
        <row r="302">
          <cell r="B302">
            <v>292</v>
          </cell>
          <cell r="C302" t="str">
            <v>SIERRA CORTADORA DE CARNE</v>
          </cell>
          <cell r="D302" t="str">
            <v>UNID</v>
          </cell>
          <cell r="E302">
            <v>2</v>
          </cell>
        </row>
        <row r="303">
          <cell r="B303">
            <v>293</v>
          </cell>
          <cell r="C303" t="str">
            <v>SOPLETE DE GAS</v>
          </cell>
          <cell r="D303" t="str">
            <v>UNID</v>
          </cell>
          <cell r="E303">
            <v>1</v>
          </cell>
        </row>
        <row r="304">
          <cell r="B304">
            <v>294</v>
          </cell>
          <cell r="C304" t="str">
            <v>MARTILLO </v>
          </cell>
          <cell r="D304" t="str">
            <v>UNID</v>
          </cell>
          <cell r="E304">
            <v>1</v>
          </cell>
        </row>
        <row r="305">
          <cell r="B305">
            <v>295</v>
          </cell>
          <cell r="C305" t="str">
            <v>CIZALLA DE PALANCA</v>
          </cell>
          <cell r="D305" t="str">
            <v>UNID</v>
          </cell>
          <cell r="E305">
            <v>1</v>
          </cell>
        </row>
        <row r="306">
          <cell r="B306">
            <v>296</v>
          </cell>
          <cell r="C306" t="str">
            <v>WINCHA METRO</v>
          </cell>
          <cell r="D306" t="str">
            <v>UNID</v>
          </cell>
          <cell r="E306">
            <v>1</v>
          </cell>
        </row>
        <row r="307">
          <cell r="B307">
            <v>297</v>
          </cell>
          <cell r="C307" t="str">
            <v>ALICATE</v>
          </cell>
          <cell r="D307" t="str">
            <v>UNID</v>
          </cell>
          <cell r="E307">
            <v>1</v>
          </cell>
        </row>
        <row r="308">
          <cell r="B308">
            <v>298</v>
          </cell>
          <cell r="C308" t="str">
            <v>ALTAVOCES</v>
          </cell>
          <cell r="D308" t="str">
            <v>UNID</v>
          </cell>
          <cell r="E308">
            <v>1</v>
          </cell>
        </row>
        <row r="309">
          <cell r="B309">
            <v>299</v>
          </cell>
          <cell r="C309" t="str">
            <v>HIDROLAVADORA</v>
          </cell>
          <cell r="D309" t="str">
            <v>UNID</v>
          </cell>
          <cell r="E309">
            <v>1</v>
          </cell>
        </row>
        <row r="310">
          <cell r="B310">
            <v>300</v>
          </cell>
          <cell r="C310" t="str">
            <v>PITON DE GAZ</v>
          </cell>
          <cell r="D310" t="str">
            <v>UNID</v>
          </cell>
          <cell r="E310">
            <v>3</v>
          </cell>
        </row>
        <row r="311">
          <cell r="B311">
            <v>301</v>
          </cell>
          <cell r="C311" t="str">
            <v>PEGAMENTO PVC</v>
          </cell>
          <cell r="D311" t="str">
            <v>UNID</v>
          </cell>
          <cell r="E311">
            <v>1</v>
          </cell>
        </row>
        <row r="312">
          <cell r="B312">
            <v>302</v>
          </cell>
          <cell r="C312" t="str">
            <v>ROMANA DE 5KL</v>
          </cell>
          <cell r="D312" t="str">
            <v>UNID</v>
          </cell>
          <cell r="E312">
            <v>3</v>
          </cell>
        </row>
        <row r="313">
          <cell r="B313">
            <v>303</v>
          </cell>
          <cell r="C313" t="str">
            <v>ESQUINERO</v>
          </cell>
          <cell r="D313" t="str">
            <v>UNID</v>
          </cell>
          <cell r="E313">
            <v>3</v>
          </cell>
        </row>
        <row r="314">
          <cell r="B314">
            <v>304</v>
          </cell>
          <cell r="C314" t="str">
            <v>SARANDAS DE MOLINO</v>
          </cell>
          <cell r="D314" t="str">
            <v>UNID</v>
          </cell>
          <cell r="E314">
            <v>4</v>
          </cell>
        </row>
        <row r="315">
          <cell r="B315">
            <v>305</v>
          </cell>
          <cell r="C315" t="str">
            <v>CUCHARAS USADOS</v>
          </cell>
          <cell r="D315" t="str">
            <v>UNID</v>
          </cell>
          <cell r="E315">
            <v>9</v>
          </cell>
        </row>
        <row r="316">
          <cell r="B316">
            <v>306</v>
          </cell>
          <cell r="C316" t="str">
            <v>TENEDORES USADOS</v>
          </cell>
          <cell r="D316" t="str">
            <v>UNID</v>
          </cell>
          <cell r="E316">
            <v>31</v>
          </cell>
        </row>
        <row r="317">
          <cell r="B317">
            <v>307</v>
          </cell>
          <cell r="C317" t="str">
            <v>CUCHILLOS REVERSOS USADOS</v>
          </cell>
          <cell r="D317" t="str">
            <v>UNID</v>
          </cell>
          <cell r="E317">
            <v>35</v>
          </cell>
        </row>
        <row r="318">
          <cell r="B318">
            <v>308</v>
          </cell>
          <cell r="C318" t="str">
            <v>CUCHARON DE MADERA</v>
          </cell>
          <cell r="D318" t="str">
            <v>UNID</v>
          </cell>
          <cell r="E318">
            <v>2</v>
          </cell>
        </row>
        <row r="319">
          <cell r="B319">
            <v>309</v>
          </cell>
          <cell r="C319" t="str">
            <v>SOPORTE DE TV</v>
          </cell>
          <cell r="D319" t="str">
            <v>UNID</v>
          </cell>
          <cell r="E319">
            <v>4</v>
          </cell>
        </row>
        <row r="320">
          <cell r="B320">
            <v>310</v>
          </cell>
          <cell r="C320" t="str">
            <v>ANTENA TV</v>
          </cell>
          <cell r="D320" t="str">
            <v>UNID</v>
          </cell>
          <cell r="E320">
            <v>1</v>
          </cell>
        </row>
        <row r="321">
          <cell r="B321">
            <v>311</v>
          </cell>
          <cell r="C321" t="str">
            <v>ALTAVOCES JBL</v>
          </cell>
          <cell r="D321" t="str">
            <v>UNID</v>
          </cell>
          <cell r="E321">
            <v>4</v>
          </cell>
        </row>
        <row r="322">
          <cell r="B322">
            <v>312</v>
          </cell>
          <cell r="C322" t="str">
            <v>PALA</v>
          </cell>
          <cell r="D322" t="str">
            <v>UNID</v>
          </cell>
          <cell r="E322">
            <v>1</v>
          </cell>
        </row>
        <row r="323">
          <cell r="B323">
            <v>313</v>
          </cell>
          <cell r="C323" t="str">
            <v>SOGA</v>
          </cell>
          <cell r="D323" t="str">
            <v>UNID</v>
          </cell>
          <cell r="E323">
            <v>3</v>
          </cell>
        </row>
        <row r="324">
          <cell r="B324">
            <v>314</v>
          </cell>
          <cell r="C324" t="str">
            <v>PREFILTRO AQUA NANO SEGUNDO TIEMPO</v>
          </cell>
          <cell r="D324" t="str">
            <v>UNID</v>
          </cell>
          <cell r="E324">
            <v>2</v>
          </cell>
        </row>
        <row r="325">
          <cell r="B325">
            <v>315</v>
          </cell>
          <cell r="C325" t="str">
            <v>DISQUETES</v>
          </cell>
          <cell r="D325" t="str">
            <v>CAJA</v>
          </cell>
          <cell r="E325">
            <v>3</v>
          </cell>
        </row>
        <row r="326">
          <cell r="B326">
            <v>316</v>
          </cell>
          <cell r="C326" t="str">
            <v>FOCO PLANO LED</v>
          </cell>
          <cell r="D326" t="str">
            <v>UNID</v>
          </cell>
          <cell r="E326">
            <v>2</v>
          </cell>
        </row>
        <row r="327">
          <cell r="B327">
            <v>317</v>
          </cell>
          <cell r="C327" t="str">
            <v>CAUTIN ELECTRICO</v>
          </cell>
          <cell r="D327" t="str">
            <v>UNID</v>
          </cell>
          <cell r="E327">
            <v>1</v>
          </cell>
        </row>
        <row r="328">
          <cell r="B328">
            <v>318</v>
          </cell>
          <cell r="C328" t="str">
            <v>PEGA RATA</v>
          </cell>
          <cell r="D328" t="str">
            <v>UNID</v>
          </cell>
          <cell r="E328">
            <v>9</v>
          </cell>
        </row>
        <row r="329">
          <cell r="B329">
            <v>319</v>
          </cell>
          <cell r="C329" t="str">
            <v>ARCHIVADORES GRANDES</v>
          </cell>
          <cell r="D329" t="str">
            <v>UNID</v>
          </cell>
          <cell r="E329">
            <v>12</v>
          </cell>
        </row>
        <row r="330">
          <cell r="B330">
            <v>320</v>
          </cell>
          <cell r="C330" t="str">
            <v>ARCHIVADORES PEQUEÑOS</v>
          </cell>
          <cell r="D330" t="str">
            <v>UNID</v>
          </cell>
          <cell r="E330">
            <v>12</v>
          </cell>
        </row>
        <row r="331">
          <cell r="B331">
            <v>321</v>
          </cell>
          <cell r="C331" t="str">
            <v>JARRA GLACIAL NADIR 1/2 LT</v>
          </cell>
          <cell r="D331" t="str">
            <v>UNID</v>
          </cell>
          <cell r="E331">
            <v>13</v>
          </cell>
        </row>
        <row r="332">
          <cell r="B332">
            <v>322</v>
          </cell>
          <cell r="C332" t="str">
            <v>JARRA CON CUELLO 1/2 LT</v>
          </cell>
          <cell r="D332" t="str">
            <v>UNID</v>
          </cell>
          <cell r="E332">
            <v>22</v>
          </cell>
        </row>
        <row r="333">
          <cell r="B333">
            <v>323</v>
          </cell>
          <cell r="C333" t="str">
            <v>JARRA CON CUELLO 1 LT</v>
          </cell>
          <cell r="D333" t="str">
            <v>UNID</v>
          </cell>
          <cell r="E333">
            <v>14</v>
          </cell>
        </row>
        <row r="334">
          <cell r="B334">
            <v>324</v>
          </cell>
          <cell r="C334" t="str">
            <v>VASO DE LICUADORA INDUSTRIAL</v>
          </cell>
          <cell r="D334" t="str">
            <v>UNID</v>
          </cell>
          <cell r="E334">
            <v>3</v>
          </cell>
        </row>
        <row r="335">
          <cell r="B335">
            <v>325</v>
          </cell>
          <cell r="C335" t="str">
            <v>URNA TRANSPARENTE</v>
          </cell>
          <cell r="D335" t="str">
            <v>UNID</v>
          </cell>
          <cell r="E335">
            <v>1</v>
          </cell>
        </row>
        <row r="336">
          <cell r="B336">
            <v>326</v>
          </cell>
          <cell r="C336" t="str">
            <v>VASO PARA ALMUERZO</v>
          </cell>
          <cell r="D336" t="str">
            <v>UNID</v>
          </cell>
          <cell r="E336">
            <v>42</v>
          </cell>
        </row>
        <row r="337">
          <cell r="B337">
            <v>327</v>
          </cell>
          <cell r="C337" t="str">
            <v>TAZA DESAYUNO DECORACION FLORAL</v>
          </cell>
          <cell r="D337" t="str">
            <v>UNID</v>
          </cell>
          <cell r="E337">
            <v>6</v>
          </cell>
        </row>
        <row r="338">
          <cell r="B338">
            <v>328</v>
          </cell>
          <cell r="C338" t="str">
            <v>PLATO BASE DE TAZA CON DECORACION FLORAL</v>
          </cell>
          <cell r="D338" t="str">
            <v>UNID</v>
          </cell>
          <cell r="E338">
            <v>9</v>
          </cell>
        </row>
      </sheetData>
      <sheetData sheetId="2">
        <row r="2">
          <cell r="B2" t="str">
            <v>CODIGO</v>
          </cell>
        </row>
        <row r="2">
          <cell r="E2" t="str">
            <v>CANTIDAD</v>
          </cell>
        </row>
        <row r="3">
          <cell r="B3">
            <v>155</v>
          </cell>
        </row>
        <row r="3">
          <cell r="E3">
            <v>1</v>
          </cell>
        </row>
        <row r="4">
          <cell r="B4">
            <v>160</v>
          </cell>
        </row>
        <row r="4">
          <cell r="E4">
            <v>50</v>
          </cell>
        </row>
        <row r="5">
          <cell r="B5">
            <v>320</v>
          </cell>
        </row>
        <row r="5">
          <cell r="E5">
            <v>1</v>
          </cell>
        </row>
        <row r="6">
          <cell r="B6">
            <v>329</v>
          </cell>
        </row>
        <row r="6">
          <cell r="E6">
            <v>3</v>
          </cell>
        </row>
        <row r="7">
          <cell r="B7">
            <v>15</v>
          </cell>
        </row>
        <row r="7">
          <cell r="E7">
            <v>3</v>
          </cell>
        </row>
        <row r="8">
          <cell r="B8">
            <v>33</v>
          </cell>
        </row>
        <row r="8">
          <cell r="E8">
            <v>6</v>
          </cell>
        </row>
        <row r="9">
          <cell r="B9">
            <v>36</v>
          </cell>
        </row>
        <row r="9">
          <cell r="E9">
            <v>6</v>
          </cell>
        </row>
        <row r="10">
          <cell r="B10">
            <v>34</v>
          </cell>
        </row>
        <row r="10">
          <cell r="E10">
            <v>6</v>
          </cell>
        </row>
        <row r="11">
          <cell r="B11">
            <v>147</v>
          </cell>
        </row>
        <row r="11">
          <cell r="E11">
            <v>50</v>
          </cell>
        </row>
        <row r="12">
          <cell r="B12">
            <v>165</v>
          </cell>
        </row>
        <row r="12">
          <cell r="E12">
            <v>2</v>
          </cell>
        </row>
        <row r="13">
          <cell r="B13">
            <v>163</v>
          </cell>
        </row>
        <row r="13">
          <cell r="E13">
            <v>2</v>
          </cell>
        </row>
        <row r="14">
          <cell r="B14">
            <v>75</v>
          </cell>
        </row>
        <row r="14">
          <cell r="E14">
            <v>50</v>
          </cell>
        </row>
        <row r="15">
          <cell r="B15">
            <v>161</v>
          </cell>
        </row>
        <row r="15">
          <cell r="E15">
            <v>100</v>
          </cell>
        </row>
      </sheetData>
      <sheetData sheetId="3">
        <row r="3">
          <cell r="B3" t="str">
            <v>CODIGO</v>
          </cell>
        </row>
        <row r="4">
          <cell r="B4">
            <v>1</v>
          </cell>
        </row>
        <row r="5">
          <cell r="B5">
            <v>2</v>
          </cell>
        </row>
        <row r="6">
          <cell r="B6">
            <v>3</v>
          </cell>
        </row>
        <row r="7">
          <cell r="B7">
            <v>4</v>
          </cell>
        </row>
        <row r="8">
          <cell r="B8">
            <v>5</v>
          </cell>
        </row>
        <row r="9">
          <cell r="B9">
            <v>6</v>
          </cell>
        </row>
        <row r="10">
          <cell r="B10">
            <v>7</v>
          </cell>
        </row>
        <row r="11">
          <cell r="B11">
            <v>8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11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14</v>
          </cell>
        </row>
        <row r="18">
          <cell r="B18">
            <v>15</v>
          </cell>
        </row>
        <row r="19">
          <cell r="B19">
            <v>16</v>
          </cell>
        </row>
        <row r="20">
          <cell r="B20">
            <v>17</v>
          </cell>
        </row>
        <row r="21">
          <cell r="B21">
            <v>18</v>
          </cell>
        </row>
        <row r="22">
          <cell r="B22">
            <v>19</v>
          </cell>
        </row>
        <row r="23">
          <cell r="B23">
            <v>20</v>
          </cell>
        </row>
        <row r="24">
          <cell r="B24">
            <v>21</v>
          </cell>
        </row>
        <row r="25">
          <cell r="B25">
            <v>22</v>
          </cell>
        </row>
        <row r="26">
          <cell r="B26">
            <v>23</v>
          </cell>
        </row>
        <row r="27">
          <cell r="B27">
            <v>24</v>
          </cell>
        </row>
        <row r="28">
          <cell r="B28">
            <v>25</v>
          </cell>
        </row>
        <row r="29">
          <cell r="B29">
            <v>26</v>
          </cell>
        </row>
        <row r="30">
          <cell r="B30">
            <v>27</v>
          </cell>
        </row>
        <row r="31">
          <cell r="B31">
            <v>28</v>
          </cell>
        </row>
        <row r="32">
          <cell r="B32">
            <v>29</v>
          </cell>
        </row>
        <row r="33">
          <cell r="B33">
            <v>30</v>
          </cell>
        </row>
        <row r="34">
          <cell r="B34">
            <v>31</v>
          </cell>
        </row>
        <row r="35">
          <cell r="B35">
            <v>32</v>
          </cell>
        </row>
        <row r="36">
          <cell r="B36">
            <v>33</v>
          </cell>
        </row>
        <row r="37">
          <cell r="B37">
            <v>34</v>
          </cell>
        </row>
        <row r="38">
          <cell r="B38">
            <v>35</v>
          </cell>
        </row>
        <row r="39">
          <cell r="B39">
            <v>36</v>
          </cell>
        </row>
        <row r="40">
          <cell r="B40">
            <v>37</v>
          </cell>
        </row>
        <row r="41">
          <cell r="B41">
            <v>38</v>
          </cell>
        </row>
        <row r="42">
          <cell r="B42">
            <v>39</v>
          </cell>
        </row>
        <row r="43">
          <cell r="B43">
            <v>40</v>
          </cell>
        </row>
        <row r="44">
          <cell r="B44">
            <v>41</v>
          </cell>
        </row>
        <row r="45">
          <cell r="B45">
            <v>42</v>
          </cell>
        </row>
        <row r="46">
          <cell r="B46">
            <v>43</v>
          </cell>
        </row>
        <row r="47">
          <cell r="B47">
            <v>44</v>
          </cell>
        </row>
        <row r="48">
          <cell r="B48">
            <v>45</v>
          </cell>
        </row>
        <row r="49">
          <cell r="B49">
            <v>46</v>
          </cell>
        </row>
        <row r="50">
          <cell r="B50">
            <v>47</v>
          </cell>
        </row>
        <row r="51">
          <cell r="B51">
            <v>48</v>
          </cell>
        </row>
        <row r="52">
          <cell r="B52">
            <v>49</v>
          </cell>
        </row>
        <row r="53">
          <cell r="B53">
            <v>50</v>
          </cell>
        </row>
        <row r="54">
          <cell r="B54">
            <v>51</v>
          </cell>
        </row>
        <row r="55">
          <cell r="B55">
            <v>52</v>
          </cell>
        </row>
        <row r="56">
          <cell r="B56">
            <v>53</v>
          </cell>
        </row>
        <row r="57">
          <cell r="B57">
            <v>54</v>
          </cell>
        </row>
        <row r="58">
          <cell r="B58">
            <v>55</v>
          </cell>
        </row>
        <row r="59">
          <cell r="B59">
            <v>56</v>
          </cell>
        </row>
        <row r="60">
          <cell r="B60">
            <v>57</v>
          </cell>
        </row>
        <row r="61">
          <cell r="B61">
            <v>58</v>
          </cell>
        </row>
        <row r="62">
          <cell r="B62">
            <v>59</v>
          </cell>
        </row>
        <row r="63">
          <cell r="B63">
            <v>60</v>
          </cell>
        </row>
        <row r="64">
          <cell r="B64">
            <v>61</v>
          </cell>
        </row>
        <row r="65">
          <cell r="B65">
            <v>62</v>
          </cell>
        </row>
        <row r="66">
          <cell r="B66">
            <v>63</v>
          </cell>
        </row>
        <row r="67">
          <cell r="B67">
            <v>64</v>
          </cell>
        </row>
        <row r="68">
          <cell r="B68">
            <v>65</v>
          </cell>
        </row>
        <row r="69">
          <cell r="B69">
            <v>66</v>
          </cell>
        </row>
        <row r="70">
          <cell r="B70">
            <v>67</v>
          </cell>
        </row>
        <row r="71">
          <cell r="B71">
            <v>68</v>
          </cell>
        </row>
        <row r="72">
          <cell r="B72">
            <v>69</v>
          </cell>
        </row>
        <row r="73">
          <cell r="B73">
            <v>70</v>
          </cell>
        </row>
        <row r="74">
          <cell r="B74">
            <v>71</v>
          </cell>
        </row>
        <row r="75">
          <cell r="B75">
            <v>72</v>
          </cell>
        </row>
        <row r="76">
          <cell r="B76">
            <v>73</v>
          </cell>
        </row>
        <row r="77">
          <cell r="B77">
            <v>74</v>
          </cell>
        </row>
        <row r="78">
          <cell r="B78">
            <v>75</v>
          </cell>
        </row>
        <row r="79">
          <cell r="B79">
            <v>76</v>
          </cell>
        </row>
        <row r="80">
          <cell r="B80">
            <v>77</v>
          </cell>
        </row>
        <row r="81">
          <cell r="B81">
            <v>78</v>
          </cell>
        </row>
        <row r="82">
          <cell r="B82">
            <v>79</v>
          </cell>
        </row>
        <row r="83">
          <cell r="B83">
            <v>80</v>
          </cell>
        </row>
        <row r="84">
          <cell r="B84">
            <v>81</v>
          </cell>
        </row>
        <row r="85">
          <cell r="B85">
            <v>82</v>
          </cell>
        </row>
        <row r="86">
          <cell r="B86">
            <v>83</v>
          </cell>
        </row>
        <row r="87">
          <cell r="B87">
            <v>84</v>
          </cell>
        </row>
        <row r="88">
          <cell r="B88">
            <v>85</v>
          </cell>
        </row>
        <row r="89">
          <cell r="B89">
            <v>86</v>
          </cell>
        </row>
        <row r="90">
          <cell r="B90">
            <v>87</v>
          </cell>
        </row>
        <row r="91">
          <cell r="B91">
            <v>88</v>
          </cell>
        </row>
        <row r="92">
          <cell r="B92">
            <v>89</v>
          </cell>
        </row>
        <row r="93">
          <cell r="B93">
            <v>90</v>
          </cell>
        </row>
        <row r="94">
          <cell r="B94">
            <v>91</v>
          </cell>
        </row>
        <row r="95">
          <cell r="B95">
            <v>92</v>
          </cell>
        </row>
        <row r="96">
          <cell r="B96">
            <v>93</v>
          </cell>
        </row>
        <row r="97">
          <cell r="B97">
            <v>94</v>
          </cell>
        </row>
        <row r="98">
          <cell r="B98">
            <v>95</v>
          </cell>
        </row>
        <row r="99">
          <cell r="B99">
            <v>96</v>
          </cell>
        </row>
        <row r="100">
          <cell r="B100">
            <v>97</v>
          </cell>
        </row>
        <row r="101">
          <cell r="B101">
            <v>98</v>
          </cell>
        </row>
        <row r="102">
          <cell r="B102">
            <v>99</v>
          </cell>
        </row>
        <row r="103">
          <cell r="B103">
            <v>100</v>
          </cell>
        </row>
        <row r="104">
          <cell r="B104">
            <v>101</v>
          </cell>
        </row>
        <row r="105">
          <cell r="B105">
            <v>102</v>
          </cell>
        </row>
        <row r="106">
          <cell r="B106">
            <v>103</v>
          </cell>
        </row>
        <row r="107">
          <cell r="B107">
            <v>104</v>
          </cell>
        </row>
        <row r="108">
          <cell r="B108">
            <v>105</v>
          </cell>
        </row>
        <row r="109">
          <cell r="B109">
            <v>106</v>
          </cell>
        </row>
        <row r="110">
          <cell r="B110">
            <v>107</v>
          </cell>
        </row>
        <row r="111">
          <cell r="B111">
            <v>108</v>
          </cell>
        </row>
        <row r="112">
          <cell r="B112">
            <v>109</v>
          </cell>
        </row>
        <row r="113">
          <cell r="B113">
            <v>110</v>
          </cell>
        </row>
        <row r="114">
          <cell r="B114">
            <v>111</v>
          </cell>
        </row>
        <row r="115">
          <cell r="B115">
            <v>112</v>
          </cell>
        </row>
        <row r="116">
          <cell r="B116">
            <v>113</v>
          </cell>
        </row>
        <row r="117">
          <cell r="B117">
            <v>114</v>
          </cell>
        </row>
        <row r="118">
          <cell r="B118">
            <v>115</v>
          </cell>
        </row>
        <row r="119">
          <cell r="B119">
            <v>116</v>
          </cell>
        </row>
        <row r="120">
          <cell r="B120">
            <v>117</v>
          </cell>
        </row>
        <row r="121">
          <cell r="B121">
            <v>118</v>
          </cell>
        </row>
        <row r="122">
          <cell r="B122">
            <v>119</v>
          </cell>
        </row>
        <row r="123">
          <cell r="B123">
            <v>120</v>
          </cell>
        </row>
        <row r="124">
          <cell r="B124">
            <v>121</v>
          </cell>
        </row>
        <row r="125">
          <cell r="B125">
            <v>122</v>
          </cell>
        </row>
        <row r="126">
          <cell r="B126">
            <v>123</v>
          </cell>
        </row>
        <row r="127">
          <cell r="B127">
            <v>124</v>
          </cell>
        </row>
        <row r="128">
          <cell r="B128">
            <v>125</v>
          </cell>
        </row>
        <row r="129">
          <cell r="B129">
            <v>126</v>
          </cell>
        </row>
        <row r="130">
          <cell r="B130">
            <v>127</v>
          </cell>
        </row>
        <row r="131">
          <cell r="B131">
            <v>128</v>
          </cell>
        </row>
        <row r="132">
          <cell r="B132">
            <v>129</v>
          </cell>
        </row>
        <row r="133">
          <cell r="B133">
            <v>130</v>
          </cell>
        </row>
        <row r="134">
          <cell r="B134">
            <v>131</v>
          </cell>
        </row>
        <row r="135">
          <cell r="B135">
            <v>132</v>
          </cell>
        </row>
        <row r="136">
          <cell r="B136">
            <v>133</v>
          </cell>
        </row>
        <row r="137">
          <cell r="B137">
            <v>134</v>
          </cell>
        </row>
        <row r="138">
          <cell r="B138">
            <v>135</v>
          </cell>
        </row>
        <row r="139">
          <cell r="B139">
            <v>136</v>
          </cell>
        </row>
        <row r="140">
          <cell r="B140">
            <v>137</v>
          </cell>
        </row>
        <row r="141">
          <cell r="B141">
            <v>138</v>
          </cell>
        </row>
        <row r="142">
          <cell r="B142">
            <v>139</v>
          </cell>
        </row>
        <row r="143">
          <cell r="B143">
            <v>140</v>
          </cell>
        </row>
        <row r="144">
          <cell r="B144">
            <v>141</v>
          </cell>
        </row>
        <row r="145">
          <cell r="B145">
            <v>142</v>
          </cell>
        </row>
        <row r="146">
          <cell r="B146">
            <v>143</v>
          </cell>
        </row>
        <row r="147">
          <cell r="B147">
            <v>144</v>
          </cell>
        </row>
        <row r="148">
          <cell r="B148">
            <v>145</v>
          </cell>
        </row>
        <row r="149">
          <cell r="B149">
            <v>146</v>
          </cell>
        </row>
        <row r="150">
          <cell r="B150">
            <v>147</v>
          </cell>
        </row>
        <row r="151">
          <cell r="B151">
            <v>148</v>
          </cell>
        </row>
        <row r="152">
          <cell r="B152">
            <v>149</v>
          </cell>
        </row>
        <row r="153">
          <cell r="B153">
            <v>150</v>
          </cell>
        </row>
        <row r="154">
          <cell r="B154">
            <v>151</v>
          </cell>
        </row>
        <row r="155">
          <cell r="B155">
            <v>152</v>
          </cell>
        </row>
        <row r="156">
          <cell r="B156">
            <v>153</v>
          </cell>
        </row>
        <row r="157">
          <cell r="B157">
            <v>154</v>
          </cell>
        </row>
        <row r="158">
          <cell r="B158">
            <v>155</v>
          </cell>
        </row>
        <row r="159">
          <cell r="B159">
            <v>156</v>
          </cell>
        </row>
        <row r="160">
          <cell r="B160">
            <v>157</v>
          </cell>
        </row>
        <row r="161">
          <cell r="B161">
            <v>158</v>
          </cell>
        </row>
        <row r="162">
          <cell r="B162">
            <v>159</v>
          </cell>
        </row>
        <row r="163">
          <cell r="B163">
            <v>160</v>
          </cell>
        </row>
        <row r="164">
          <cell r="B164">
            <v>161</v>
          </cell>
        </row>
        <row r="165">
          <cell r="B165">
            <v>162</v>
          </cell>
        </row>
        <row r="166">
          <cell r="B166">
            <v>163</v>
          </cell>
        </row>
        <row r="167">
          <cell r="B167">
            <v>164</v>
          </cell>
        </row>
        <row r="168">
          <cell r="B168">
            <v>165</v>
          </cell>
        </row>
        <row r="169">
          <cell r="B169">
            <v>166</v>
          </cell>
        </row>
        <row r="170">
          <cell r="B170">
            <v>167</v>
          </cell>
        </row>
        <row r="171">
          <cell r="B171">
            <v>168</v>
          </cell>
        </row>
        <row r="172">
          <cell r="B172">
            <v>169</v>
          </cell>
        </row>
        <row r="173">
          <cell r="B173">
            <v>170</v>
          </cell>
        </row>
        <row r="174">
          <cell r="B174">
            <v>171</v>
          </cell>
        </row>
        <row r="175">
          <cell r="B175">
            <v>172</v>
          </cell>
        </row>
        <row r="176">
          <cell r="B176">
            <v>173</v>
          </cell>
        </row>
        <row r="177">
          <cell r="B177">
            <v>174</v>
          </cell>
        </row>
        <row r="178">
          <cell r="B178">
            <v>175</v>
          </cell>
        </row>
        <row r="179">
          <cell r="B179">
            <v>176</v>
          </cell>
        </row>
        <row r="180">
          <cell r="B180">
            <v>177</v>
          </cell>
        </row>
        <row r="181">
          <cell r="B181">
            <v>178</v>
          </cell>
        </row>
        <row r="182">
          <cell r="B182">
            <v>179</v>
          </cell>
        </row>
        <row r="183">
          <cell r="B183">
            <v>180</v>
          </cell>
        </row>
        <row r="184">
          <cell r="B184">
            <v>181</v>
          </cell>
        </row>
        <row r="185">
          <cell r="B185">
            <v>182</v>
          </cell>
        </row>
        <row r="186">
          <cell r="B186">
            <v>183</v>
          </cell>
        </row>
        <row r="187">
          <cell r="B187">
            <v>184</v>
          </cell>
        </row>
        <row r="188">
          <cell r="B188">
            <v>185</v>
          </cell>
        </row>
        <row r="189">
          <cell r="B189">
            <v>186</v>
          </cell>
        </row>
        <row r="190">
          <cell r="B190">
            <v>187</v>
          </cell>
        </row>
        <row r="191">
          <cell r="B191">
            <v>188</v>
          </cell>
        </row>
        <row r="192">
          <cell r="B192">
            <v>189</v>
          </cell>
        </row>
        <row r="193">
          <cell r="B193">
            <v>190</v>
          </cell>
        </row>
        <row r="194">
          <cell r="B194">
            <v>191</v>
          </cell>
        </row>
        <row r="195">
          <cell r="B195">
            <v>192</v>
          </cell>
        </row>
        <row r="196">
          <cell r="B196">
            <v>193</v>
          </cell>
        </row>
        <row r="197">
          <cell r="B197">
            <v>194</v>
          </cell>
        </row>
        <row r="198">
          <cell r="B198">
            <v>195</v>
          </cell>
        </row>
        <row r="199">
          <cell r="B199">
            <v>196</v>
          </cell>
        </row>
        <row r="200">
          <cell r="B200">
            <v>197</v>
          </cell>
        </row>
        <row r="201">
          <cell r="B201">
            <v>198</v>
          </cell>
        </row>
        <row r="202">
          <cell r="B202">
            <v>199</v>
          </cell>
        </row>
        <row r="203">
          <cell r="B203">
            <v>200</v>
          </cell>
        </row>
        <row r="204">
          <cell r="B204">
            <v>201</v>
          </cell>
        </row>
        <row r="205">
          <cell r="B205">
            <v>202</v>
          </cell>
        </row>
        <row r="206">
          <cell r="B206">
            <v>203</v>
          </cell>
        </row>
        <row r="207">
          <cell r="B207">
            <v>204</v>
          </cell>
        </row>
        <row r="208">
          <cell r="B208">
            <v>205</v>
          </cell>
        </row>
        <row r="209">
          <cell r="B209">
            <v>206</v>
          </cell>
        </row>
        <row r="210">
          <cell r="B210">
            <v>207</v>
          </cell>
        </row>
        <row r="211">
          <cell r="B211">
            <v>208</v>
          </cell>
        </row>
        <row r="212">
          <cell r="B212">
            <v>209</v>
          </cell>
        </row>
        <row r="213">
          <cell r="B213">
            <v>210</v>
          </cell>
        </row>
        <row r="214">
          <cell r="B214">
            <v>211</v>
          </cell>
        </row>
        <row r="215">
          <cell r="B215">
            <v>212</v>
          </cell>
        </row>
        <row r="216">
          <cell r="B216">
            <v>213</v>
          </cell>
        </row>
        <row r="217">
          <cell r="B217">
            <v>214</v>
          </cell>
        </row>
        <row r="218">
          <cell r="B218">
            <v>215</v>
          </cell>
        </row>
        <row r="219">
          <cell r="B219">
            <v>216</v>
          </cell>
        </row>
        <row r="220">
          <cell r="B220">
            <v>217</v>
          </cell>
        </row>
        <row r="221">
          <cell r="B221">
            <v>218</v>
          </cell>
        </row>
        <row r="222">
          <cell r="B222">
            <v>219</v>
          </cell>
        </row>
        <row r="223">
          <cell r="B223">
            <v>220</v>
          </cell>
        </row>
        <row r="224">
          <cell r="B224">
            <v>221</v>
          </cell>
        </row>
        <row r="225">
          <cell r="B225">
            <v>222</v>
          </cell>
        </row>
        <row r="226">
          <cell r="B226">
            <v>223</v>
          </cell>
        </row>
        <row r="227">
          <cell r="B227">
            <v>224</v>
          </cell>
        </row>
        <row r="228">
          <cell r="B228">
            <v>225</v>
          </cell>
        </row>
        <row r="229">
          <cell r="B229">
            <v>226</v>
          </cell>
        </row>
        <row r="230">
          <cell r="B230">
            <v>227</v>
          </cell>
        </row>
        <row r="231">
          <cell r="B231">
            <v>228</v>
          </cell>
        </row>
        <row r="232">
          <cell r="B232">
            <v>229</v>
          </cell>
        </row>
        <row r="233">
          <cell r="B233">
            <v>230</v>
          </cell>
        </row>
        <row r="234">
          <cell r="B234">
            <v>231</v>
          </cell>
        </row>
        <row r="235">
          <cell r="B235">
            <v>232</v>
          </cell>
        </row>
        <row r="236">
          <cell r="B236">
            <v>233</v>
          </cell>
        </row>
        <row r="237">
          <cell r="B237">
            <v>234</v>
          </cell>
        </row>
        <row r="238">
          <cell r="B238">
            <v>235</v>
          </cell>
        </row>
        <row r="239">
          <cell r="B239">
            <v>236</v>
          </cell>
        </row>
        <row r="240">
          <cell r="B240">
            <v>237</v>
          </cell>
        </row>
        <row r="241">
          <cell r="B241">
            <v>238</v>
          </cell>
        </row>
        <row r="242">
          <cell r="B242">
            <v>239</v>
          </cell>
        </row>
        <row r="243">
          <cell r="B243">
            <v>240</v>
          </cell>
        </row>
        <row r="244">
          <cell r="B244">
            <v>241</v>
          </cell>
        </row>
        <row r="245">
          <cell r="B245">
            <v>242</v>
          </cell>
        </row>
        <row r="246">
          <cell r="B246">
            <v>243</v>
          </cell>
        </row>
        <row r="247">
          <cell r="B247">
            <v>244</v>
          </cell>
        </row>
        <row r="248">
          <cell r="B248">
            <v>245</v>
          </cell>
        </row>
        <row r="249">
          <cell r="B249">
            <v>246</v>
          </cell>
        </row>
        <row r="250">
          <cell r="B250">
            <v>247</v>
          </cell>
        </row>
        <row r="251">
          <cell r="B251">
            <v>248</v>
          </cell>
        </row>
        <row r="252">
          <cell r="B252">
            <v>249</v>
          </cell>
        </row>
        <row r="253">
          <cell r="B253">
            <v>250</v>
          </cell>
        </row>
        <row r="254">
          <cell r="B254">
            <v>251</v>
          </cell>
        </row>
        <row r="255">
          <cell r="B255">
            <v>252</v>
          </cell>
        </row>
        <row r="256">
          <cell r="B256">
            <v>253</v>
          </cell>
        </row>
        <row r="257">
          <cell r="B257">
            <v>254</v>
          </cell>
        </row>
        <row r="258">
          <cell r="B258">
            <v>255</v>
          </cell>
        </row>
        <row r="259">
          <cell r="B259">
            <v>256</v>
          </cell>
        </row>
        <row r="260">
          <cell r="B260">
            <v>257</v>
          </cell>
        </row>
        <row r="261">
          <cell r="B261">
            <v>258</v>
          </cell>
        </row>
        <row r="262">
          <cell r="B262">
            <v>259</v>
          </cell>
        </row>
        <row r="263">
          <cell r="B263">
            <v>260</v>
          </cell>
        </row>
        <row r="264">
          <cell r="B264">
            <v>261</v>
          </cell>
        </row>
        <row r="265">
          <cell r="B265">
            <v>262</v>
          </cell>
        </row>
        <row r="266">
          <cell r="B266">
            <v>263</v>
          </cell>
        </row>
        <row r="267">
          <cell r="B267">
            <v>264</v>
          </cell>
        </row>
        <row r="268">
          <cell r="B268">
            <v>265</v>
          </cell>
        </row>
        <row r="269">
          <cell r="B269">
            <v>266</v>
          </cell>
        </row>
        <row r="270">
          <cell r="B270">
            <v>267</v>
          </cell>
        </row>
        <row r="271">
          <cell r="B271">
            <v>268</v>
          </cell>
        </row>
        <row r="272">
          <cell r="B272">
            <v>269</v>
          </cell>
        </row>
        <row r="273">
          <cell r="B273">
            <v>270</v>
          </cell>
        </row>
        <row r="274">
          <cell r="B274">
            <v>271</v>
          </cell>
        </row>
        <row r="275">
          <cell r="B275">
            <v>272</v>
          </cell>
        </row>
        <row r="276">
          <cell r="B276">
            <v>273</v>
          </cell>
        </row>
        <row r="277">
          <cell r="B277">
            <v>274</v>
          </cell>
        </row>
        <row r="278">
          <cell r="B278">
            <v>275</v>
          </cell>
        </row>
        <row r="279">
          <cell r="B279">
            <v>276</v>
          </cell>
        </row>
        <row r="280">
          <cell r="B280">
            <v>277</v>
          </cell>
        </row>
        <row r="281">
          <cell r="B281">
            <v>278</v>
          </cell>
        </row>
        <row r="282">
          <cell r="B282">
            <v>279</v>
          </cell>
        </row>
        <row r="283">
          <cell r="B283">
            <v>280</v>
          </cell>
        </row>
        <row r="284">
          <cell r="B284">
            <v>281</v>
          </cell>
        </row>
        <row r="285">
          <cell r="B285">
            <v>282</v>
          </cell>
        </row>
        <row r="286">
          <cell r="B286">
            <v>283</v>
          </cell>
        </row>
        <row r="287">
          <cell r="B287">
            <v>284</v>
          </cell>
        </row>
        <row r="288">
          <cell r="B288">
            <v>285</v>
          </cell>
        </row>
        <row r="289">
          <cell r="B289">
            <v>286</v>
          </cell>
        </row>
        <row r="290">
          <cell r="B290">
            <v>287</v>
          </cell>
        </row>
        <row r="291">
          <cell r="B291">
            <v>288</v>
          </cell>
        </row>
        <row r="292">
          <cell r="B292">
            <v>289</v>
          </cell>
        </row>
        <row r="293">
          <cell r="B293">
            <v>290</v>
          </cell>
        </row>
        <row r="294">
          <cell r="B294">
            <v>291</v>
          </cell>
        </row>
        <row r="295">
          <cell r="B295">
            <v>292</v>
          </cell>
        </row>
        <row r="296">
          <cell r="B296">
            <v>293</v>
          </cell>
        </row>
        <row r="297">
          <cell r="B297">
            <v>294</v>
          </cell>
        </row>
        <row r="298">
          <cell r="B298">
            <v>295</v>
          </cell>
        </row>
        <row r="299">
          <cell r="B299">
            <v>296</v>
          </cell>
        </row>
        <row r="300">
          <cell r="B300">
            <v>297</v>
          </cell>
        </row>
        <row r="301">
          <cell r="B301">
            <v>298</v>
          </cell>
        </row>
        <row r="302">
          <cell r="B302">
            <v>299</v>
          </cell>
        </row>
        <row r="303">
          <cell r="B303">
            <v>300</v>
          </cell>
        </row>
        <row r="304">
          <cell r="B304">
            <v>301</v>
          </cell>
        </row>
        <row r="305">
          <cell r="B305">
            <v>302</v>
          </cell>
        </row>
        <row r="306">
          <cell r="B306">
            <v>303</v>
          </cell>
        </row>
        <row r="307">
          <cell r="B307">
            <v>304</v>
          </cell>
        </row>
        <row r="308">
          <cell r="B308">
            <v>305</v>
          </cell>
        </row>
        <row r="309">
          <cell r="B309">
            <v>306</v>
          </cell>
        </row>
        <row r="310">
          <cell r="B310">
            <v>307</v>
          </cell>
        </row>
        <row r="311">
          <cell r="B311">
            <v>308</v>
          </cell>
        </row>
        <row r="312">
          <cell r="B312">
            <v>309</v>
          </cell>
        </row>
        <row r="313">
          <cell r="B313">
            <v>310</v>
          </cell>
        </row>
        <row r="314">
          <cell r="B314">
            <v>311</v>
          </cell>
        </row>
        <row r="315">
          <cell r="B315">
            <v>312</v>
          </cell>
        </row>
        <row r="316">
          <cell r="B316">
            <v>313</v>
          </cell>
        </row>
        <row r="317">
          <cell r="B317">
            <v>314</v>
          </cell>
        </row>
        <row r="318">
          <cell r="B318">
            <v>315</v>
          </cell>
        </row>
        <row r="319">
          <cell r="B319">
            <v>316</v>
          </cell>
        </row>
        <row r="320">
          <cell r="B320">
            <v>317</v>
          </cell>
        </row>
        <row r="321">
          <cell r="B321">
            <v>318</v>
          </cell>
        </row>
        <row r="322">
          <cell r="B322">
            <v>319</v>
          </cell>
        </row>
        <row r="323">
          <cell r="B323">
            <v>320</v>
          </cell>
        </row>
        <row r="324">
          <cell r="B324">
            <v>321</v>
          </cell>
        </row>
        <row r="325">
          <cell r="B325">
            <v>322</v>
          </cell>
        </row>
        <row r="326">
          <cell r="B326">
            <v>323</v>
          </cell>
        </row>
        <row r="327">
          <cell r="B327">
            <v>324</v>
          </cell>
        </row>
        <row r="328">
          <cell r="B328">
            <v>325</v>
          </cell>
        </row>
        <row r="329">
          <cell r="B329">
            <v>326</v>
          </cell>
        </row>
        <row r="330">
          <cell r="B330">
            <v>327</v>
          </cell>
        </row>
        <row r="331">
          <cell r="B331">
            <v>328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31"/>
  <sheetViews>
    <sheetView tabSelected="1" workbookViewId="0">
      <selection activeCell="H2" sqref="H2"/>
    </sheetView>
  </sheetViews>
  <sheetFormatPr defaultColWidth="9.14285714285714" defaultRowHeight="15" outlineLevelCol="7"/>
  <sheetData>
    <row r="2" spans="2:8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8">
      <c r="B3" s="4">
        <v>1</v>
      </c>
      <c r="C3" s="5" t="str">
        <f>IFERROR(VLOOKUP(B3,[1]ENTRADAS!B:F,2,FALSE),"")</f>
        <v>COPA FLAUTA</v>
      </c>
      <c r="D3" s="6" t="s">
        <v>7</v>
      </c>
      <c r="E3" s="6">
        <f>SUMIF([1]ENTRADAS!B:B,[1]INVENTARIO!B3,[1]ENTRADAS!E:E)</f>
        <v>0</v>
      </c>
      <c r="F3" s="6">
        <f>SUMIF([1]SALIDAS!B:B,[1]INVENTARIO!B3,[1]SALIDAS!E:E)</f>
        <v>0</v>
      </c>
      <c r="G3" s="6">
        <f t="shared" ref="G3:G66" si="0">E3-F3</f>
        <v>0</v>
      </c>
      <c r="H3" s="7"/>
    </row>
    <row r="4" spans="2:8">
      <c r="B4" s="4">
        <v>2</v>
      </c>
      <c r="C4" s="5" t="str">
        <f>IFERROR(VLOOKUP(B4,[1]ENTRADAS!B:F,2,FALSE),"")</f>
        <v>COPA BOCA CERRADA</v>
      </c>
      <c r="D4" s="6" t="s">
        <v>7</v>
      </c>
      <c r="E4" s="6">
        <f>SUMIF([1]ENTRADAS!B:B,[1]INVENTARIO!B4,[1]ENTRADAS!E:E)</f>
        <v>11</v>
      </c>
      <c r="F4" s="6">
        <f>SUMIF([1]SALIDAS!B:B,[1]INVENTARIO!B4,[1]SALIDAS!E:E)</f>
        <v>0</v>
      </c>
      <c r="G4" s="6">
        <f t="shared" si="0"/>
        <v>11</v>
      </c>
      <c r="H4" s="8"/>
    </row>
    <row r="5" spans="2:8">
      <c r="B5" s="4">
        <v>3</v>
      </c>
      <c r="C5" s="5" t="str">
        <f>IFERROR(VLOOKUP(B5,[1]ENTRADAS!B:F,2,FALSE),"")</f>
        <v>COPA PERA</v>
      </c>
      <c r="D5" s="6" t="s">
        <v>7</v>
      </c>
      <c r="E5" s="6">
        <f>SUMIF([1]ENTRADAS!B:B,[1]INVENTARIO!B5,[1]ENTRADAS!E:E)</f>
        <v>49</v>
      </c>
      <c r="F5" s="6">
        <f>SUMIF([1]SALIDAS!B:B,[1]INVENTARIO!B5,[1]SALIDAS!E:E)</f>
        <v>0</v>
      </c>
      <c r="G5" s="6">
        <f t="shared" si="0"/>
        <v>49</v>
      </c>
      <c r="H5" s="8"/>
    </row>
    <row r="6" spans="2:8">
      <c r="B6" s="4">
        <v>4</v>
      </c>
      <c r="C6" s="5" t="str">
        <f>IFERROR(VLOOKUP(B6,[1]ENTRADAS!B:F,2,FALSE),"")</f>
        <v>VASO DE CERVEZA SMITH 320ML</v>
      </c>
      <c r="D6" s="6" t="s">
        <v>7</v>
      </c>
      <c r="E6" s="6">
        <f>SUMIF([1]ENTRADAS!B:B,[1]INVENTARIO!B6,[1]ENTRADAS!E:E)</f>
        <v>36</v>
      </c>
      <c r="F6" s="6">
        <f>SUMIF([1]SALIDAS!B:B,[1]INVENTARIO!B6,[1]SALIDAS!E:E)</f>
        <v>0</v>
      </c>
      <c r="G6" s="6">
        <f t="shared" si="0"/>
        <v>36</v>
      </c>
      <c r="H6" s="8"/>
    </row>
    <row r="7" spans="2:8">
      <c r="B7" s="4">
        <v>5</v>
      </c>
      <c r="C7" s="5" t="str">
        <f>IFERROR(VLOOKUP(B7,[1]ENTRADAS!B:F,2,FALSE),"")</f>
        <v>JARRA CON PICO</v>
      </c>
      <c r="D7" s="6" t="s">
        <v>7</v>
      </c>
      <c r="E7" s="6">
        <f>SUMIF([1]ENTRADAS!B:B,[1]INVENTARIO!B7,[1]ENTRADAS!E:E)</f>
        <v>34</v>
      </c>
      <c r="F7" s="6">
        <f>SUMIF([1]SALIDAS!B:B,[1]INVENTARIO!B7,[1]SALIDAS!E:E)</f>
        <v>0</v>
      </c>
      <c r="G7" s="6">
        <f t="shared" si="0"/>
        <v>34</v>
      </c>
      <c r="H7" s="8"/>
    </row>
    <row r="8" spans="2:8">
      <c r="B8" s="4">
        <v>6</v>
      </c>
      <c r="C8" s="5" t="str">
        <f>IFERROR(VLOOKUP(B8,[1]ENTRADAS!B:F,2,FALSE),"")</f>
        <v>JARRA CON TAPA</v>
      </c>
      <c r="D8" s="6" t="s">
        <v>7</v>
      </c>
      <c r="E8" s="6">
        <f>SUMIF([1]ENTRADAS!B:B,[1]INVENTARIO!B8,[1]ENTRADAS!E:E)</f>
        <v>24</v>
      </c>
      <c r="F8" s="6">
        <f>SUMIF([1]SALIDAS!B:B,[1]INVENTARIO!B8,[1]SALIDAS!E:E)</f>
        <v>0</v>
      </c>
      <c r="G8" s="6">
        <f t="shared" si="0"/>
        <v>24</v>
      </c>
      <c r="H8" s="8"/>
    </row>
    <row r="9" spans="2:8">
      <c r="B9" s="4">
        <v>7</v>
      </c>
      <c r="C9" s="5" t="str">
        <f>IFERROR(VLOOKUP(B9,[1]ENTRADAS!B:F,2,FALSE),"")</f>
        <v>COPA DE VINO NADIR 7156</v>
      </c>
      <c r="D9" s="6" t="s">
        <v>7</v>
      </c>
      <c r="E9" s="6">
        <f>SUMIF([1]ENTRADAS!B:B,[1]INVENTARIO!B9,[1]ENTRADAS!E:E)</f>
        <v>60</v>
      </c>
      <c r="F9" s="6">
        <f>SUMIF([1]SALIDAS!B:B,[1]INVENTARIO!B9,[1]SALIDAS!E:E)</f>
        <v>0</v>
      </c>
      <c r="G9" s="6">
        <f t="shared" si="0"/>
        <v>60</v>
      </c>
      <c r="H9" s="8"/>
    </row>
    <row r="10" spans="2:8">
      <c r="B10" s="4">
        <v>8</v>
      </c>
      <c r="C10" s="5" t="str">
        <f>IFERROR(VLOOKUP(B10,[1]ENTRADAS!B:F,2,FALSE),"")</f>
        <v>COPA MARTINI 7228</v>
      </c>
      <c r="D10" s="6" t="s">
        <v>7</v>
      </c>
      <c r="E10" s="6">
        <f>SUMIF([1]ENTRADAS!B:B,[1]INVENTARIO!B10,[1]ENTRADAS!E:E)</f>
        <v>115</v>
      </c>
      <c r="F10" s="6">
        <f>SUMIF([1]SALIDAS!B:B,[1]INVENTARIO!B10,[1]SALIDAS!E:E)</f>
        <v>0</v>
      </c>
      <c r="G10" s="6">
        <f t="shared" si="0"/>
        <v>115</v>
      </c>
      <c r="H10" s="8"/>
    </row>
    <row r="11" spans="2:8">
      <c r="B11" s="4">
        <v>9</v>
      </c>
      <c r="C11" s="5" t="str">
        <f>IFERROR(VLOOKUP(B11,[1]ENTRADAS!B:F,2,FALSE),"")</f>
        <v>COPA SHAMPAN 7828</v>
      </c>
      <c r="D11" s="6" t="s">
        <v>7</v>
      </c>
      <c r="E11" s="6">
        <f>SUMIF([1]ENTRADAS!B:B,[1]INVENTARIO!B11,[1]ENTRADAS!E:E)</f>
        <v>150</v>
      </c>
      <c r="F11" s="6">
        <f>SUMIF([1]SALIDAS!B:B,[1]INVENTARIO!B11,[1]SALIDAS!E:E)</f>
        <v>0</v>
      </c>
      <c r="G11" s="6">
        <f t="shared" si="0"/>
        <v>150</v>
      </c>
      <c r="H11" s="8"/>
    </row>
    <row r="12" spans="2:8">
      <c r="B12" s="4">
        <v>10</v>
      </c>
      <c r="C12" s="5" t="str">
        <f>IFERROR(VLOOKUP(B12,[1]ENTRADAS!B:F,2,FALSE),"")</f>
        <v>VASO DE CRISTAL 8.5ONZ</v>
      </c>
      <c r="D12" s="6" t="s">
        <v>7</v>
      </c>
      <c r="E12" s="6">
        <f>SUMIF([1]ENTRADAS!B:B,[1]INVENTARIO!B12,[1]ENTRADAS!E:E)</f>
        <v>116</v>
      </c>
      <c r="F12" s="6">
        <f>SUMIF([1]SALIDAS!B:B,[1]INVENTARIO!B12,[1]SALIDAS!E:E)</f>
        <v>0</v>
      </c>
      <c r="G12" s="6">
        <f t="shared" si="0"/>
        <v>116</v>
      </c>
      <c r="H12" s="8"/>
    </row>
    <row r="13" spans="2:8">
      <c r="B13" s="4">
        <v>11</v>
      </c>
      <c r="C13" s="5" t="str">
        <f>IFERROR(VLOOKUP(B13,[1]ENTRADAS!B:F,2,FALSE),"")</f>
        <v>VASO ESTRIADO</v>
      </c>
      <c r="D13" s="6" t="s">
        <v>7</v>
      </c>
      <c r="E13" s="6">
        <f>SUMIF([1]ENTRADAS!B:B,[1]INVENTARIO!B13,[1]ENTRADAS!E:E)</f>
        <v>1007</v>
      </c>
      <c r="F13" s="6">
        <f>SUMIF([1]SALIDAS!B:B,[1]INVENTARIO!B13,[1]SALIDAS!E:E)</f>
        <v>0</v>
      </c>
      <c r="G13" s="6">
        <f t="shared" si="0"/>
        <v>1007</v>
      </c>
      <c r="H13" s="8"/>
    </row>
    <row r="14" spans="2:8">
      <c r="B14" s="4">
        <v>12</v>
      </c>
      <c r="C14" s="5" t="str">
        <f>IFERROR(VLOOKUP(B14,[1]ENTRADAS!B:F,2,FALSE),"")</f>
        <v>VASO DE CRISTAL 11.2ONZ</v>
      </c>
      <c r="D14" s="6" t="s">
        <v>7</v>
      </c>
      <c r="E14" s="6">
        <f>SUMIF([1]ENTRADAS!B:B,[1]INVENTARIO!B14,[1]ENTRADAS!E:E)</f>
        <v>47</v>
      </c>
      <c r="F14" s="6">
        <f>SUMIF([1]SALIDAS!B:B,[1]INVENTARIO!B14,[1]SALIDAS!E:E)</f>
        <v>0</v>
      </c>
      <c r="G14" s="6">
        <f t="shared" si="0"/>
        <v>47</v>
      </c>
      <c r="H14" s="8"/>
    </row>
    <row r="15" spans="2:8">
      <c r="B15" s="4">
        <v>13</v>
      </c>
      <c r="C15" s="5" t="str">
        <f>IFERROR(VLOOKUP(B15,[1]ENTRADAS!B:F,2,FALSE),"")</f>
        <v>COPA SUNJU SUA(BOLONIA)</v>
      </c>
      <c r="D15" s="6" t="s">
        <v>7</v>
      </c>
      <c r="E15" s="6">
        <f>SUMIF([1]ENTRADAS!B:B,[1]INVENTARIO!B15,[1]ENTRADAS!E:E)</f>
        <v>94</v>
      </c>
      <c r="F15" s="6">
        <f>SUMIF([1]SALIDAS!B:B,[1]INVENTARIO!B15,[1]SALIDAS!E:E)</f>
        <v>0</v>
      </c>
      <c r="G15" s="6">
        <f t="shared" si="0"/>
        <v>94</v>
      </c>
      <c r="H15" s="8"/>
    </row>
    <row r="16" spans="2:8">
      <c r="B16" s="4">
        <v>14</v>
      </c>
      <c r="C16" s="5" t="str">
        <f>IFERROR(VLOOKUP(B16,[1]ENTRADAS!B:F,2,FALSE),"")</f>
        <v>TAZA DE PORCELANA 336CM</v>
      </c>
      <c r="D16" s="6" t="s">
        <v>7</v>
      </c>
      <c r="E16" s="6">
        <f>SUMIF([1]ENTRADAS!B:B,[1]INVENTARIO!B16,[1]ENTRADAS!E:E)</f>
        <v>124</v>
      </c>
      <c r="F16" s="6">
        <f>SUMIF([1]SALIDAS!B:B,[1]INVENTARIO!B16,[1]SALIDAS!E:E)</f>
        <v>0</v>
      </c>
      <c r="G16" s="6">
        <f t="shared" si="0"/>
        <v>124</v>
      </c>
      <c r="H16" s="9"/>
    </row>
    <row r="17" spans="2:8">
      <c r="B17" s="4">
        <v>15</v>
      </c>
      <c r="C17" s="5" t="str">
        <f>IFERROR(VLOOKUP(B17,[1]ENTRADAS!B:F,2,FALSE),"")</f>
        <v>TAZA DE PORCELANA 200CM</v>
      </c>
      <c r="D17" s="6" t="s">
        <v>7</v>
      </c>
      <c r="E17" s="6">
        <f>SUMIF([1]ENTRADAS!B:B,[1]INVENTARIO!B17,[1]ENTRADAS!E:E)</f>
        <v>48</v>
      </c>
      <c r="F17" s="6">
        <f>SUMIF([1]SALIDAS!B:B,[1]INVENTARIO!B17,[1]SALIDAS!E:E)</f>
        <v>0</v>
      </c>
      <c r="G17" s="6">
        <f t="shared" si="0"/>
        <v>48</v>
      </c>
      <c r="H17" s="9"/>
    </row>
    <row r="18" spans="2:8">
      <c r="B18" s="4">
        <v>16</v>
      </c>
      <c r="C18" s="5" t="str">
        <f>IFERROR(VLOOKUP(B18,[1]ENTRADAS!B:F,2,FALSE),"")</f>
        <v>VASO DE CERVEZA DOUZANES</v>
      </c>
      <c r="D18" s="6" t="s">
        <v>7</v>
      </c>
      <c r="E18" s="6">
        <f>SUMIF([1]ENTRADAS!B:B,[1]INVENTARIO!B18,[1]ENTRADAS!E:E)</f>
        <v>64</v>
      </c>
      <c r="F18" s="6">
        <f>SUMIF([1]SALIDAS!B:B,[1]INVENTARIO!B18,[1]SALIDAS!E:E)</f>
        <v>3</v>
      </c>
      <c r="G18" s="6">
        <f t="shared" si="0"/>
        <v>61</v>
      </c>
      <c r="H18" s="9"/>
    </row>
    <row r="19" spans="2:8">
      <c r="B19" s="4">
        <v>17</v>
      </c>
      <c r="C19" s="5" t="str">
        <f>IFERROR(VLOOKUP(B19,[1]ENTRADAS!B:F,2,FALSE),"")</f>
        <v>WISQUERA</v>
      </c>
      <c r="D19" s="6" t="s">
        <v>7</v>
      </c>
      <c r="E19" s="6">
        <f>SUMIF([1]ENTRADAS!B:B,[1]INVENTARIO!B19,[1]ENTRADAS!E:E)</f>
        <v>37</v>
      </c>
      <c r="F19" s="6">
        <f>SUMIF([1]SALIDAS!B:B,[1]INVENTARIO!B19,[1]SALIDAS!E:E)</f>
        <v>0</v>
      </c>
      <c r="G19" s="6">
        <f t="shared" si="0"/>
        <v>37</v>
      </c>
      <c r="H19" s="9"/>
    </row>
    <row r="20" spans="2:8">
      <c r="B20" s="4">
        <v>18</v>
      </c>
      <c r="C20" s="5" t="str">
        <f>IFERROR(VLOOKUP(B20,[1]ENTRADAS!B:F,2,FALSE),"")</f>
        <v>SHOP CERVEZA LIZO</v>
      </c>
      <c r="D20" s="6" t="s">
        <v>7</v>
      </c>
      <c r="E20" s="6">
        <f>SUMIF([1]ENTRADAS!B:B,[1]INVENTARIO!B20,[1]ENTRADAS!E:E)</f>
        <v>47</v>
      </c>
      <c r="F20" s="6">
        <f>SUMIF([1]SALIDAS!B:B,[1]INVENTARIO!B20,[1]SALIDAS!E:E)</f>
        <v>0</v>
      </c>
      <c r="G20" s="6">
        <f t="shared" si="0"/>
        <v>47</v>
      </c>
      <c r="H20" s="9"/>
    </row>
    <row r="21" spans="2:8">
      <c r="B21" s="4">
        <v>19</v>
      </c>
      <c r="C21" s="5" t="str">
        <f>IFERROR(VLOOKUP(B21,[1]ENTRADAS!B:F,2,FALSE),"")</f>
        <v>SHOP CERVEZA RANURAS</v>
      </c>
      <c r="D21" s="6" t="s">
        <v>7</v>
      </c>
      <c r="E21" s="6">
        <f>SUMIF([1]ENTRADAS!B:B,[1]INVENTARIO!B21,[1]ENTRADAS!E:E)</f>
        <v>48</v>
      </c>
      <c r="F21" s="6">
        <f>SUMIF([1]SALIDAS!B:B,[1]INVENTARIO!B21,[1]SALIDAS!E:E)</f>
        <v>0</v>
      </c>
      <c r="G21" s="6">
        <f t="shared" si="0"/>
        <v>48</v>
      </c>
      <c r="H21" s="9"/>
    </row>
    <row r="22" spans="2:8">
      <c r="B22" s="4">
        <v>20</v>
      </c>
      <c r="C22" s="5" t="str">
        <f>IFERROR(VLOOKUP(B22,[1]ENTRADAS!B:F,2,FALSE),"")</f>
        <v>COPITA DE HELADO</v>
      </c>
      <c r="D22" s="6" t="s">
        <v>7</v>
      </c>
      <c r="E22" s="6">
        <f>SUMIF([1]ENTRADAS!B:B,[1]INVENTARIO!B22,[1]ENTRADAS!E:E)</f>
        <v>21</v>
      </c>
      <c r="F22" s="6">
        <f>SUMIF([1]SALIDAS!B:B,[1]INVENTARIO!B22,[1]SALIDAS!E:E)</f>
        <v>0</v>
      </c>
      <c r="G22" s="6">
        <f t="shared" si="0"/>
        <v>21</v>
      </c>
      <c r="H22" s="9"/>
    </row>
    <row r="23" spans="2:8">
      <c r="B23" s="4">
        <v>21</v>
      </c>
      <c r="C23" s="5" t="str">
        <f>IFERROR(VLOOKUP(B23,[1]ENTRADAS!B:F,2,FALSE),"")</f>
        <v>TAZA DE TE PITEADO</v>
      </c>
      <c r="D23" s="6" t="s">
        <v>7</v>
      </c>
      <c r="E23" s="6">
        <f>SUMIF([1]ENTRADAS!B:B,[1]INVENTARIO!B23,[1]ENTRADAS!E:E)</f>
        <v>110</v>
      </c>
      <c r="F23" s="6">
        <f>SUMIF([1]SALIDAS!B:B,[1]INVENTARIO!B23,[1]SALIDAS!E:E)</f>
        <v>0</v>
      </c>
      <c r="G23" s="6">
        <f t="shared" si="0"/>
        <v>110</v>
      </c>
      <c r="H23" s="9"/>
    </row>
    <row r="24" spans="2:8">
      <c r="B24" s="4">
        <v>22</v>
      </c>
      <c r="C24" s="5" t="str">
        <f>IFERROR(VLOOKUP(B24,[1]ENTRADAS!B:F,2,FALSE),"")</f>
        <v>COPA CON ASA IRLANDES</v>
      </c>
      <c r="D24" s="6" t="s">
        <v>7</v>
      </c>
      <c r="E24" s="6">
        <f>SUMIF([1]ENTRADAS!B:B,[1]INVENTARIO!B24,[1]ENTRADAS!E:E)</f>
        <v>56</v>
      </c>
      <c r="F24" s="6">
        <f>SUMIF([1]SALIDAS!B:B,[1]INVENTARIO!B24,[1]SALIDAS!E:E)</f>
        <v>0</v>
      </c>
      <c r="G24" s="6">
        <f t="shared" si="0"/>
        <v>56</v>
      </c>
      <c r="H24" s="9"/>
    </row>
    <row r="25" spans="2:8">
      <c r="B25" s="4">
        <v>23</v>
      </c>
      <c r="C25" s="5" t="str">
        <f>IFERROR(VLOOKUP(B25,[1]ENTRADAS!B:F,2,FALSE),"")</f>
        <v>VASO CHOPITO</v>
      </c>
      <c r="D25" s="6" t="s">
        <v>7</v>
      </c>
      <c r="E25" s="6">
        <f>SUMIF([1]ENTRADAS!B:B,[1]INVENTARIO!B25,[1]ENTRADAS!E:E)</f>
        <v>12</v>
      </c>
      <c r="F25" s="6">
        <f>SUMIF([1]SALIDAS!B:B,[1]INVENTARIO!B25,[1]SALIDAS!E:E)</f>
        <v>0</v>
      </c>
      <c r="G25" s="6">
        <f t="shared" si="0"/>
        <v>12</v>
      </c>
      <c r="H25" s="9"/>
    </row>
    <row r="26" spans="2:8">
      <c r="B26" s="4">
        <v>24</v>
      </c>
      <c r="C26" s="5" t="str">
        <f>IFERROR(VLOOKUP(B26,[1]ENTRADAS!B:F,2,FALSE),"")</f>
        <v>COPITA SHOT</v>
      </c>
      <c r="D26" s="6" t="s">
        <v>7</v>
      </c>
      <c r="E26" s="6">
        <f>SUMIF([1]ENTRADAS!B:B,[1]INVENTARIO!B26,[1]ENTRADAS!E:E)</f>
        <v>42</v>
      </c>
      <c r="F26" s="6">
        <f>SUMIF([1]SALIDAS!B:B,[1]INVENTARIO!B26,[1]SALIDAS!E:E)</f>
        <v>0</v>
      </c>
      <c r="G26" s="6">
        <f t="shared" si="0"/>
        <v>42</v>
      </c>
      <c r="H26" s="9"/>
    </row>
    <row r="27" spans="2:8">
      <c r="B27" s="4">
        <v>25</v>
      </c>
      <c r="C27" s="5" t="str">
        <f>IFERROR(VLOOKUP(B27,[1]ENTRADAS!B:F,2,FALSE),"")</f>
        <v>VASO DE CERVEZA CUSQUEÑA</v>
      </c>
      <c r="D27" s="6" t="s">
        <v>7</v>
      </c>
      <c r="E27" s="6">
        <f>SUMIF([1]ENTRADAS!B:B,[1]INVENTARIO!B27,[1]ENTRADAS!E:E)</f>
        <v>11</v>
      </c>
      <c r="F27" s="6">
        <f>SUMIF([1]SALIDAS!B:B,[1]INVENTARIO!B27,[1]SALIDAS!E:E)</f>
        <v>0</v>
      </c>
      <c r="G27" s="6">
        <f t="shared" si="0"/>
        <v>11</v>
      </c>
      <c r="H27" s="9"/>
    </row>
    <row r="28" spans="2:8">
      <c r="B28" s="4">
        <v>26</v>
      </c>
      <c r="C28" s="5" t="str">
        <f>IFERROR(VLOOKUP(B28,[1]ENTRADAS!B:F,2,FALSE),"")</f>
        <v>COPA DE VINO TABERNERO</v>
      </c>
      <c r="D28" s="6" t="s">
        <v>7</v>
      </c>
      <c r="E28" s="6">
        <f>SUMIF([1]ENTRADAS!B:B,[1]INVENTARIO!B28,[1]ENTRADAS!E:E)</f>
        <v>49</v>
      </c>
      <c r="F28" s="6">
        <f>SUMIF([1]SALIDAS!B:B,[1]INVENTARIO!B28,[1]SALIDAS!E:E)</f>
        <v>0</v>
      </c>
      <c r="G28" s="6">
        <f t="shared" si="0"/>
        <v>49</v>
      </c>
      <c r="H28" s="9"/>
    </row>
    <row r="29" spans="2:8">
      <c r="B29" s="4">
        <v>27</v>
      </c>
      <c r="C29" s="5" t="str">
        <f>IFERROR(VLOOKUP(B29,[1]ENTRADAS!B:F,2,FALSE),"")</f>
        <v>COPA CHILCANO TABERNERO</v>
      </c>
      <c r="D29" s="6" t="s">
        <v>7</v>
      </c>
      <c r="E29" s="6">
        <f>SUMIF([1]ENTRADAS!B:B,[1]INVENTARIO!B29,[1]ENTRADAS!E:E)</f>
        <v>60</v>
      </c>
      <c r="F29" s="6">
        <f>SUMIF([1]SALIDAS!B:B,[1]INVENTARIO!B29,[1]SALIDAS!E:E)</f>
        <v>0</v>
      </c>
      <c r="G29" s="6">
        <f t="shared" si="0"/>
        <v>60</v>
      </c>
      <c r="H29" s="9"/>
    </row>
    <row r="30" spans="2:8">
      <c r="B30" s="4">
        <v>28</v>
      </c>
      <c r="C30" s="5" t="str">
        <f>IFERROR(VLOOKUP(B30,[1]ENTRADAS!B:F,2,FALSE),"")</f>
        <v>COPA CHILCANO</v>
      </c>
      <c r="D30" s="6" t="s">
        <v>7</v>
      </c>
      <c r="E30" s="6">
        <f>SUMIF([1]ENTRADAS!B:B,[1]INVENTARIO!B30,[1]ENTRADAS!E:E)</f>
        <v>45</v>
      </c>
      <c r="F30" s="6">
        <f>SUMIF([1]SALIDAS!B:B,[1]INVENTARIO!B30,[1]SALIDAS!E:E)</f>
        <v>0</v>
      </c>
      <c r="G30" s="6">
        <f t="shared" si="0"/>
        <v>45</v>
      </c>
      <c r="H30" s="9"/>
    </row>
    <row r="31" spans="2:8">
      <c r="B31" s="4">
        <v>29</v>
      </c>
      <c r="C31" s="5" t="str">
        <f>IFERROR(VLOOKUP(B31,[1]ENTRADAS!B:F,2,FALSE),"")</f>
        <v>COPA CHILCANO PEQUEÑO</v>
      </c>
      <c r="D31" s="6" t="s">
        <v>7</v>
      </c>
      <c r="E31" s="6">
        <f>SUMIF([1]ENTRADAS!B:B,[1]INVENTARIO!B31,[1]ENTRADAS!E:E)</f>
        <v>17</v>
      </c>
      <c r="F31" s="6">
        <f>SUMIF([1]SALIDAS!B:B,[1]INVENTARIO!B31,[1]SALIDAS!E:E)</f>
        <v>0</v>
      </c>
      <c r="G31" s="6">
        <f t="shared" si="0"/>
        <v>17</v>
      </c>
      <c r="H31" s="9"/>
    </row>
    <row r="32" spans="2:8">
      <c r="B32" s="4">
        <v>30</v>
      </c>
      <c r="C32" s="5" t="str">
        <f>IFERROR(VLOOKUP(B32,[1]ENTRADAS!B:F,2,FALSE),"")</f>
        <v>COPA SUNDAE</v>
      </c>
      <c r="D32" s="6" t="s">
        <v>7</v>
      </c>
      <c r="E32" s="6">
        <f>SUMIF([1]ENTRADAS!B:B,[1]INVENTARIO!B32,[1]ENTRADAS!E:E)</f>
        <v>5</v>
      </c>
      <c r="F32" s="6">
        <f>SUMIF([1]SALIDAS!B:B,[1]INVENTARIO!B32,[1]SALIDAS!E:E)</f>
        <v>0</v>
      </c>
      <c r="G32" s="6">
        <f t="shared" si="0"/>
        <v>5</v>
      </c>
      <c r="H32" s="9"/>
    </row>
    <row r="33" spans="2:8">
      <c r="B33" s="4">
        <v>31</v>
      </c>
      <c r="C33" s="5" t="str">
        <f>IFERROR(VLOOKUP(B33,[1]ENTRADAS!B:F,2,FALSE),"")</f>
        <v>COPA DE VINO 16CM</v>
      </c>
      <c r="D33" s="6" t="s">
        <v>7</v>
      </c>
      <c r="E33" s="6">
        <f>SUMIF([1]ENTRADAS!B:B,[1]INVENTARIO!B33,[1]ENTRADAS!E:E)</f>
        <v>20</v>
      </c>
      <c r="F33" s="6">
        <f>SUMIF([1]SALIDAS!B:B,[1]INVENTARIO!B33,[1]SALIDAS!E:E)</f>
        <v>0</v>
      </c>
      <c r="G33" s="6">
        <f t="shared" si="0"/>
        <v>20</v>
      </c>
      <c r="H33" s="9"/>
    </row>
    <row r="34" spans="2:8">
      <c r="B34" s="4">
        <v>32</v>
      </c>
      <c r="C34" s="5" t="str">
        <f>IFERROR(VLOOKUP(B34,[1]ENTRADAS!B:F,2,FALSE),"")</f>
        <v>COPA DE HELADO (AYACUCHO-PERU)</v>
      </c>
      <c r="D34" s="6" t="s">
        <v>7</v>
      </c>
      <c r="E34" s="6">
        <f>SUMIF([1]ENTRADAS!B:B,[1]INVENTARIO!B34,[1]ENTRADAS!E:E)</f>
        <v>10</v>
      </c>
      <c r="F34" s="6">
        <f>SUMIF([1]SALIDAS!B:B,[1]INVENTARIO!B34,[1]SALIDAS!E:E)</f>
        <v>0</v>
      </c>
      <c r="G34" s="6">
        <f t="shared" si="0"/>
        <v>10</v>
      </c>
      <c r="H34" s="9"/>
    </row>
    <row r="35" spans="2:8">
      <c r="B35" s="4">
        <v>33</v>
      </c>
      <c r="C35" s="5" t="str">
        <f>IFERROR(VLOOKUP(B35,[1]ENTRADAS!B:F,2,FALSE),"")</f>
        <v>CUCHILLO REVERSO- NOCTURNO</v>
      </c>
      <c r="D35" s="6" t="s">
        <v>7</v>
      </c>
      <c r="E35" s="6">
        <f>SUMIF([1]ENTRADAS!B:B,[1]INVENTARIO!B35,[1]ENTRADAS!E:E)</f>
        <v>9</v>
      </c>
      <c r="F35" s="6">
        <f>SUMIF([1]SALIDAS!B:B,[1]INVENTARIO!B35,[1]SALIDAS!E:E)</f>
        <v>0</v>
      </c>
      <c r="G35" s="6">
        <f t="shared" si="0"/>
        <v>9</v>
      </c>
      <c r="H35" s="9"/>
    </row>
    <row r="36" spans="2:8">
      <c r="B36" s="4">
        <v>34</v>
      </c>
      <c r="C36" s="5" t="str">
        <f>IFERROR(VLOOKUP(B36,[1]ENTRADAS!B:F,2,FALSE),"")</f>
        <v>TENEDOR -NOCTURNO</v>
      </c>
      <c r="D36" s="6" t="s">
        <v>7</v>
      </c>
      <c r="E36" s="6">
        <f>SUMIF([1]ENTRADAS!B:B,[1]INVENTARIO!B36,[1]ENTRADAS!E:E)</f>
        <v>167</v>
      </c>
      <c r="F36" s="6">
        <f>SUMIF([1]SALIDAS!B:B,[1]INVENTARIO!B36,[1]SALIDAS!E:E)</f>
        <v>6</v>
      </c>
      <c r="G36" s="6">
        <f t="shared" si="0"/>
        <v>161</v>
      </c>
      <c r="H36" s="9"/>
    </row>
    <row r="37" spans="2:8">
      <c r="B37" s="4">
        <v>35</v>
      </c>
      <c r="C37" s="5" t="str">
        <f>IFERROR(VLOOKUP(B37,[1]ENTRADAS!B:F,2,FALSE),"")</f>
        <v>CUCHARA GRANDE -NOCTURNO</v>
      </c>
      <c r="D37" s="6" t="s">
        <v>7</v>
      </c>
      <c r="E37" s="6">
        <f>SUMIF([1]ENTRADAS!B:B,[1]INVENTARIO!B37,[1]ENTRADAS!E:E)</f>
        <v>117</v>
      </c>
      <c r="F37" s="6">
        <f>SUMIF([1]SALIDAS!B:B,[1]INVENTARIO!B37,[1]SALIDAS!E:E)</f>
        <v>6</v>
      </c>
      <c r="G37" s="6">
        <f t="shared" si="0"/>
        <v>111</v>
      </c>
      <c r="H37" s="9"/>
    </row>
    <row r="38" spans="2:8">
      <c r="B38" s="4">
        <v>36</v>
      </c>
      <c r="C38" s="5" t="str">
        <f>IFERROR(VLOOKUP(B38,[1]ENTRADAS!B:F,2,FALSE),"")</f>
        <v>CUCHARA MEDIANA -NOCTURNO</v>
      </c>
      <c r="D38" s="6" t="s">
        <v>7</v>
      </c>
      <c r="E38" s="6">
        <f>SUMIF([1]ENTRADAS!B:B,[1]INVENTARIO!B38,[1]ENTRADAS!E:E)</f>
        <v>52</v>
      </c>
      <c r="F38" s="6">
        <f>SUMIF([1]SALIDAS!B:B,[1]INVENTARIO!B38,[1]SALIDAS!E:E)</f>
        <v>0</v>
      </c>
      <c r="G38" s="6">
        <f t="shared" si="0"/>
        <v>52</v>
      </c>
      <c r="H38" s="9"/>
    </row>
    <row r="39" spans="2:8">
      <c r="B39" s="4">
        <v>37</v>
      </c>
      <c r="C39" s="5" t="str">
        <f>IFERROR(VLOOKUP(B39,[1]ENTRADAS!B:F,2,FALSE),"")</f>
        <v>CUCHARA PEQUEÑA -NOCTURNO</v>
      </c>
      <c r="D39" s="6" t="s">
        <v>7</v>
      </c>
      <c r="E39" s="6">
        <f>SUMIF([1]ENTRADAS!B:B,[1]INVENTARIO!B39,[1]ENTRADAS!E:E)</f>
        <v>54</v>
      </c>
      <c r="F39" s="6">
        <f>SUMIF([1]SALIDAS!B:B,[1]INVENTARIO!B39,[1]SALIDAS!E:E)</f>
        <v>6</v>
      </c>
      <c r="G39" s="6">
        <f t="shared" si="0"/>
        <v>48</v>
      </c>
      <c r="H39" s="9"/>
    </row>
    <row r="40" spans="2:8">
      <c r="B40" s="4">
        <v>38</v>
      </c>
      <c r="C40" s="5" t="str">
        <f>IFERROR(VLOOKUP(B40,[1]ENTRADAS!B:F,2,FALSE),"")</f>
        <v>CUCHARA DE POSTRE</v>
      </c>
      <c r="D40" s="6" t="s">
        <v>7</v>
      </c>
      <c r="E40" s="6">
        <f>SUMIF([1]ENTRADAS!B:B,[1]INVENTARIO!B40,[1]ENTRADAS!E:E)</f>
        <v>40</v>
      </c>
      <c r="F40" s="6">
        <f>SUMIF([1]SALIDAS!B:B,[1]INVENTARIO!B40,[1]SALIDAS!E:E)</f>
        <v>0</v>
      </c>
      <c r="G40" s="6">
        <f t="shared" si="0"/>
        <v>40</v>
      </c>
      <c r="H40" s="9"/>
    </row>
    <row r="41" spans="2:8">
      <c r="B41" s="4">
        <v>39</v>
      </c>
      <c r="C41" s="5" t="str">
        <f>IFERROR(VLOOKUP(B41,[1]ENTRADAS!B:F,2,FALSE),"")</f>
        <v>SERVILLETEROS DE METAL</v>
      </c>
      <c r="D41" s="6" t="s">
        <v>7</v>
      </c>
      <c r="E41" s="6">
        <f>SUMIF([1]ENTRADAS!B:B,[1]INVENTARIO!B41,[1]ENTRADAS!E:E)</f>
        <v>7</v>
      </c>
      <c r="F41" s="6">
        <f>SUMIF([1]SALIDAS!B:B,[1]INVENTARIO!B41,[1]SALIDAS!E:E)</f>
        <v>0</v>
      </c>
      <c r="G41" s="6">
        <f t="shared" si="0"/>
        <v>7</v>
      </c>
      <c r="H41" s="9"/>
    </row>
    <row r="42" spans="2:8">
      <c r="B42" s="4">
        <v>40</v>
      </c>
      <c r="C42" s="5" t="str">
        <f>IFERROR(VLOOKUP(B42,[1]ENTRADAS!B:F,2,FALSE),"")</f>
        <v>SAL DE MARAS EN POTES</v>
      </c>
      <c r="D42" s="6" t="s">
        <v>7</v>
      </c>
      <c r="E42" s="6">
        <f>SUMIF([1]ENTRADAS!B:B,[1]INVENTARIO!B42,[1]ENTRADAS!E:E)</f>
        <v>66</v>
      </c>
      <c r="F42" s="6">
        <f>SUMIF([1]SALIDAS!B:B,[1]INVENTARIO!B42,[1]SALIDAS!E:E)</f>
        <v>0</v>
      </c>
      <c r="G42" s="6">
        <f t="shared" si="0"/>
        <v>66</v>
      </c>
      <c r="H42" s="9"/>
    </row>
    <row r="43" spans="2:8">
      <c r="B43" s="4">
        <v>41</v>
      </c>
      <c r="C43" s="5" t="str">
        <f>IFERROR(VLOOKUP(B43,[1]ENTRADAS!B:F,2,FALSE),"")</f>
        <v>SERVILLETEROS DE LOZA </v>
      </c>
      <c r="D43" s="6" t="s">
        <v>7</v>
      </c>
      <c r="E43" s="6">
        <f>SUMIF([1]ENTRADAS!B:B,[1]INVENTARIO!B43,[1]ENTRADAS!E:E)</f>
        <v>64</v>
      </c>
      <c r="F43" s="6">
        <f>SUMIF([1]SALIDAS!B:B,[1]INVENTARIO!B43,[1]SALIDAS!E:E)</f>
        <v>0</v>
      </c>
      <c r="G43" s="6">
        <f t="shared" si="0"/>
        <v>64</v>
      </c>
      <c r="H43" s="9"/>
    </row>
    <row r="44" spans="2:8">
      <c r="B44" s="4">
        <v>42</v>
      </c>
      <c r="C44" s="5" t="str">
        <f>IFERROR(VLOOKUP(B44,[1]ENTRADAS!B:F,2,FALSE),"")</f>
        <v>SERVILLETEROS INKA COLA </v>
      </c>
      <c r="D44" s="6" t="s">
        <v>7</v>
      </c>
      <c r="E44" s="6">
        <f>SUMIF([1]ENTRADAS!B:B,[1]INVENTARIO!B44,[1]ENTRADAS!E:E)</f>
        <v>62</v>
      </c>
      <c r="F44" s="6">
        <f>SUMIF([1]SALIDAS!B:B,[1]INVENTARIO!B44,[1]SALIDAS!E:E)</f>
        <v>0</v>
      </c>
      <c r="G44" s="6">
        <f t="shared" si="0"/>
        <v>62</v>
      </c>
      <c r="H44" s="9"/>
    </row>
    <row r="45" spans="2:8">
      <c r="B45" s="4">
        <v>43</v>
      </c>
      <c r="C45" s="5" t="str">
        <f>IFERROR(VLOOKUP(B45,[1]ENTRADAS!B:F,2,FALSE),"")</f>
        <v>BANDEJA CUENTEROS</v>
      </c>
      <c r="D45" s="6" t="s">
        <v>7</v>
      </c>
      <c r="E45" s="6">
        <f>SUMIF([1]ENTRADAS!B:B,[1]INVENTARIO!B45,[1]ENTRADAS!E:E)</f>
        <v>78</v>
      </c>
      <c r="F45" s="6">
        <f>SUMIF([1]SALIDAS!B:B,[1]INVENTARIO!B45,[1]SALIDAS!E:E)</f>
        <v>0</v>
      </c>
      <c r="G45" s="6">
        <f t="shared" si="0"/>
        <v>78</v>
      </c>
      <c r="H45" s="9"/>
    </row>
    <row r="46" spans="2:8">
      <c r="B46" s="4">
        <v>44</v>
      </c>
      <c r="C46" s="5" t="str">
        <f>IFERROR(VLOOKUP(B46,[1]ENTRADAS!B:F,2,FALSE),"")</f>
        <v>MOSTRADOR DE TARJETAS</v>
      </c>
      <c r="D46" s="6" t="s">
        <v>7</v>
      </c>
      <c r="E46" s="6">
        <f>SUMIF([1]ENTRADAS!B:B,[1]INVENTARIO!B46,[1]ENTRADAS!E:E)</f>
        <v>242</v>
      </c>
      <c r="F46" s="6">
        <f>SUMIF([1]SALIDAS!B:B,[1]INVENTARIO!B46,[1]SALIDAS!E:E)</f>
        <v>0</v>
      </c>
      <c r="G46" s="6">
        <f t="shared" si="0"/>
        <v>242</v>
      </c>
      <c r="H46" s="9"/>
    </row>
    <row r="47" spans="2:8">
      <c r="B47" s="4">
        <v>45</v>
      </c>
      <c r="C47" s="5" t="str">
        <f>IFERROR(VLOOKUP(B47,[1]ENTRADAS!B:F,2,FALSE),"")</f>
        <v>PLATOS PANDO</v>
      </c>
      <c r="D47" s="6" t="s">
        <v>7</v>
      </c>
      <c r="E47" s="6">
        <f>SUMIF([1]ENTRADAS!B:B,[1]INVENTARIO!B47,[1]ENTRADAS!E:E)</f>
        <v>17</v>
      </c>
      <c r="F47" s="6">
        <f>SUMIF([1]SALIDAS!B:B,[1]INVENTARIO!B47,[1]SALIDAS!E:E)</f>
        <v>0</v>
      </c>
      <c r="G47" s="6">
        <f t="shared" si="0"/>
        <v>17</v>
      </c>
      <c r="H47" s="9"/>
    </row>
    <row r="48" spans="2:8">
      <c r="B48" s="4">
        <v>46</v>
      </c>
      <c r="C48" s="5" t="str">
        <f>IFERROR(VLOOKUP(B48,[1]ENTRADAS!B:F,2,FALSE),"")</f>
        <v>DESCARTABLE PLATO HONDO</v>
      </c>
      <c r="D48" s="6" t="s">
        <v>8</v>
      </c>
      <c r="E48" s="6">
        <f>SUMIF([1]ENTRADAS!B:B,[1]INVENTARIO!B48,[1]ENTRADAS!E:E)</f>
        <v>48</v>
      </c>
      <c r="F48" s="6">
        <f>SUMIF([1]SALIDAS!B:B,[1]INVENTARIO!B48,[1]SALIDAS!E:E)</f>
        <v>0</v>
      </c>
      <c r="G48" s="6">
        <f t="shared" si="0"/>
        <v>48</v>
      </c>
      <c r="H48" s="9"/>
    </row>
    <row r="49" spans="2:8">
      <c r="B49" s="4">
        <v>47</v>
      </c>
      <c r="C49" s="5" t="str">
        <f>IFERROR(VLOOKUP(B49,[1]ENTRADAS!B:F,2,FALSE),"")</f>
        <v>OLLA DE ACERO RECORD D24</v>
      </c>
      <c r="D49" s="6" t="s">
        <v>7</v>
      </c>
      <c r="E49" s="6">
        <f>SUMIF([1]ENTRADAS!B:B,[1]INVENTARIO!B49,[1]ENTRADAS!E:E)</f>
        <v>2</v>
      </c>
      <c r="F49" s="6">
        <f>SUMIF([1]SALIDAS!B:B,[1]INVENTARIO!B49,[1]SALIDAS!E:E)</f>
        <v>0</v>
      </c>
      <c r="G49" s="6">
        <f t="shared" si="0"/>
        <v>2</v>
      </c>
      <c r="H49" s="9"/>
    </row>
    <row r="50" spans="2:8">
      <c r="B50" s="4">
        <v>48</v>
      </c>
      <c r="C50" s="5" t="str">
        <f>IFERROR(VLOOKUP(B50,[1]ENTRADAS!B:F,2,FALSE),"")</f>
        <v>OLLA DE ACERO RECORD D28</v>
      </c>
      <c r="D50" s="6" t="s">
        <v>7</v>
      </c>
      <c r="E50" s="6">
        <f>SUMIF([1]ENTRADAS!B:B,[1]INVENTARIO!B50,[1]ENTRADAS!E:E)</f>
        <v>1</v>
      </c>
      <c r="F50" s="6">
        <f>SUMIF([1]SALIDAS!B:B,[1]INVENTARIO!B50,[1]SALIDAS!E:E)</f>
        <v>0</v>
      </c>
      <c r="G50" s="6">
        <f t="shared" si="0"/>
        <v>1</v>
      </c>
      <c r="H50" s="9"/>
    </row>
    <row r="51" spans="2:8">
      <c r="B51" s="4">
        <v>49</v>
      </c>
      <c r="C51" s="5" t="str">
        <f>IFERROR(VLOOKUP(B51,[1]ENTRADAS!B:F,2,FALSE),"")</f>
        <v>TEFLON DE ACERO RECORD</v>
      </c>
      <c r="D51" s="6" t="s">
        <v>7</v>
      </c>
      <c r="E51" s="6">
        <f>SUMIF([1]ENTRADAS!B:B,[1]INVENTARIO!B51,[1]ENTRADAS!E:E)</f>
        <v>2</v>
      </c>
      <c r="F51" s="6">
        <f>SUMIF([1]SALIDAS!B:B,[1]INVENTARIO!B51,[1]SALIDAS!E:E)</f>
        <v>0</v>
      </c>
      <c r="G51" s="6">
        <f t="shared" si="0"/>
        <v>2</v>
      </c>
      <c r="H51" s="9"/>
    </row>
    <row r="52" spans="2:8">
      <c r="B52" s="4">
        <v>50</v>
      </c>
      <c r="C52" s="5" t="str">
        <f>IFERROR(VLOOKUP(B52,[1]ENTRADAS!B:F,2,FALSE),"")</f>
        <v>OLLA CON MAGO ACERO RECORD</v>
      </c>
      <c r="D52" s="6" t="s">
        <v>7</v>
      </c>
      <c r="E52" s="6">
        <f>SUMIF([1]ENTRADAS!B:B,[1]INVENTARIO!B52,[1]ENTRADAS!E:E)</f>
        <v>2</v>
      </c>
      <c r="F52" s="6">
        <f>SUMIF([1]SALIDAS!B:B,[1]INVENTARIO!B52,[1]SALIDAS!E:E)</f>
        <v>0</v>
      </c>
      <c r="G52" s="6">
        <f t="shared" si="0"/>
        <v>2</v>
      </c>
      <c r="H52" s="9"/>
    </row>
    <row r="53" spans="2:8">
      <c r="B53" s="4">
        <v>51</v>
      </c>
      <c r="C53" s="5" t="str">
        <f>IFERROR(VLOOKUP(B53,[1]ENTRADAS!B:F,2,FALSE),"")</f>
        <v>AZUCARERA DE METAL</v>
      </c>
      <c r="D53" s="6" t="s">
        <v>7</v>
      </c>
      <c r="E53" s="6">
        <f>SUMIF([1]ENTRADAS!B:B,[1]INVENTARIO!B53,[1]ENTRADAS!E:E)</f>
        <v>2</v>
      </c>
      <c r="F53" s="6">
        <f>SUMIF([1]SALIDAS!B:B,[1]INVENTARIO!B53,[1]SALIDAS!E:E)</f>
        <v>0</v>
      </c>
      <c r="G53" s="6">
        <f t="shared" si="0"/>
        <v>2</v>
      </c>
      <c r="H53" s="9"/>
    </row>
    <row r="54" spans="2:8">
      <c r="B54" s="4">
        <v>52</v>
      </c>
      <c r="C54" s="5" t="str">
        <f>IFERROR(VLOOKUP(B54,[1]ENTRADAS!B:F,2,FALSE),"")</f>
        <v>COCINA DE INDUCCION RECORD</v>
      </c>
      <c r="D54" s="6" t="s">
        <v>7</v>
      </c>
      <c r="E54" s="6">
        <f>SUMIF([1]ENTRADAS!B:B,[1]INVENTARIO!B54,[1]ENTRADAS!E:E)</f>
        <v>5</v>
      </c>
      <c r="F54" s="6">
        <f>SUMIF([1]SALIDAS!B:B,[1]INVENTARIO!B54,[1]SALIDAS!E:E)</f>
        <v>0</v>
      </c>
      <c r="G54" s="6">
        <f t="shared" si="0"/>
        <v>5</v>
      </c>
      <c r="H54" s="9"/>
    </row>
    <row r="55" spans="2:8">
      <c r="B55" s="4">
        <v>53</v>
      </c>
      <c r="C55" s="5" t="str">
        <f>IFERROR(VLOOKUP(B55,[1]ENTRADAS!B:F,2,FALSE),"")</f>
        <v>OLLA CON MANGO TRAMONTINA</v>
      </c>
      <c r="D55" s="6" t="s">
        <v>7</v>
      </c>
      <c r="E55" s="6">
        <f>SUMIF([1]ENTRADAS!B:B,[1]INVENTARIO!B55,[1]ENTRADAS!E:E)</f>
        <v>6</v>
      </c>
      <c r="F55" s="6">
        <f>SUMIF([1]SALIDAS!B:B,[1]INVENTARIO!B55,[1]SALIDAS!E:E)</f>
        <v>0</v>
      </c>
      <c r="G55" s="6">
        <f t="shared" si="0"/>
        <v>6</v>
      </c>
      <c r="H55" s="9"/>
    </row>
    <row r="56" spans="2:8">
      <c r="B56" s="4">
        <v>54</v>
      </c>
      <c r="C56" s="5" t="str">
        <f>IFERROR(VLOOKUP(B56,[1]ENTRADAS!B:F,2,FALSE),"")</f>
        <v>OLLA CHOCOLATERA ELECTRICA</v>
      </c>
      <c r="D56" s="6" t="s">
        <v>7</v>
      </c>
      <c r="E56" s="6">
        <f>SUMIF([1]ENTRADAS!B:B,[1]INVENTARIO!B56,[1]ENTRADAS!E:E)</f>
        <v>2</v>
      </c>
      <c r="F56" s="6">
        <f>SUMIF([1]SALIDAS!B:B,[1]INVENTARIO!B56,[1]SALIDAS!E:E)</f>
        <v>0</v>
      </c>
      <c r="G56" s="6">
        <f t="shared" si="0"/>
        <v>2</v>
      </c>
      <c r="H56" s="9"/>
    </row>
    <row r="57" spans="2:8">
      <c r="B57" s="4">
        <v>55</v>
      </c>
      <c r="C57" s="5" t="str">
        <f>IFERROR(VLOOKUP(B57,[1]ENTRADAS!B:F,2,FALSE),"")</f>
        <v>MINI MOLDE DE POSTRE </v>
      </c>
      <c r="D57" s="6" t="s">
        <v>7</v>
      </c>
      <c r="E57" s="6">
        <f>SUMIF([1]ENTRADAS!B:B,[1]INVENTARIO!B57,[1]ENTRADAS!E:E)</f>
        <v>1</v>
      </c>
      <c r="F57" s="6">
        <f>SUMIF([1]SALIDAS!B:B,[1]INVENTARIO!B57,[1]SALIDAS!E:E)</f>
        <v>0</v>
      </c>
      <c r="G57" s="6">
        <f t="shared" si="0"/>
        <v>1</v>
      </c>
      <c r="H57" s="9"/>
    </row>
    <row r="58" spans="2:8">
      <c r="B58" s="4">
        <v>56</v>
      </c>
      <c r="C58" s="5" t="str">
        <f>IFERROR(VLOOKUP(B58,[1]ENTRADAS!B:F,2,FALSE),"")</f>
        <v>CREMERA CON ASA</v>
      </c>
      <c r="D58" s="6" t="s">
        <v>7</v>
      </c>
      <c r="E58" s="6">
        <f>SUMIF([1]ENTRADAS!B:B,[1]INVENTARIO!B58,[1]ENTRADAS!E:E)</f>
        <v>18</v>
      </c>
      <c r="F58" s="6">
        <f>SUMIF([1]SALIDAS!B:B,[1]INVENTARIO!B58,[1]SALIDAS!E:E)</f>
        <v>0</v>
      </c>
      <c r="G58" s="6">
        <f t="shared" si="0"/>
        <v>18</v>
      </c>
      <c r="H58" s="9"/>
    </row>
    <row r="59" spans="2:8">
      <c r="B59" s="4">
        <v>57</v>
      </c>
      <c r="C59" s="5" t="str">
        <f>IFERROR(VLOOKUP(B59,[1]ENTRADAS!B:F,2,FALSE),"")</f>
        <v>FRASCO DE VIDRIO JOGURT</v>
      </c>
      <c r="D59" s="6" t="s">
        <v>7</v>
      </c>
      <c r="E59" s="6">
        <f>SUMIF([1]ENTRADAS!B:B,[1]INVENTARIO!B59,[1]ENTRADAS!E:E)</f>
        <v>25</v>
      </c>
      <c r="F59" s="6">
        <f>SUMIF([1]SALIDAS!B:B,[1]INVENTARIO!B59,[1]SALIDAS!E:E)</f>
        <v>0</v>
      </c>
      <c r="G59" s="6">
        <f t="shared" si="0"/>
        <v>25</v>
      </c>
      <c r="H59" s="9"/>
    </row>
    <row r="60" spans="2:8">
      <c r="B60" s="4">
        <v>58</v>
      </c>
      <c r="C60" s="5" t="str">
        <f>IFERROR(VLOOKUP(B60,[1]ENTRADAS!B:F,2,FALSE),"")</f>
        <v>CINICERO DE VIDRIO</v>
      </c>
      <c r="D60" s="6" t="s">
        <v>7</v>
      </c>
      <c r="E60" s="6">
        <f>SUMIF([1]ENTRADAS!B:B,[1]INVENTARIO!B60,[1]ENTRADAS!E:E)</f>
        <v>21</v>
      </c>
      <c r="F60" s="6">
        <f>SUMIF([1]SALIDAS!B:B,[1]INVENTARIO!B60,[1]SALIDAS!E:E)</f>
        <v>0</v>
      </c>
      <c r="G60" s="6">
        <f t="shared" si="0"/>
        <v>21</v>
      </c>
      <c r="H60" s="9"/>
    </row>
    <row r="61" spans="2:8">
      <c r="B61" s="4">
        <v>59</v>
      </c>
      <c r="C61" s="5" t="str">
        <f>IFERROR(VLOOKUP(B61,[1]ENTRADAS!B:F,2,FALSE),"")</f>
        <v>FUENTE ALUMINIO</v>
      </c>
      <c r="D61" s="6" t="s">
        <v>7</v>
      </c>
      <c r="E61" s="6">
        <f>SUMIF([1]ENTRADAS!B:B,[1]INVENTARIO!B61,[1]ENTRADAS!E:E)</f>
        <v>3</v>
      </c>
      <c r="F61" s="6">
        <f>SUMIF([1]SALIDAS!B:B,[1]INVENTARIO!B61,[1]SALIDAS!E:E)</f>
        <v>0</v>
      </c>
      <c r="G61" s="6">
        <f t="shared" si="0"/>
        <v>3</v>
      </c>
      <c r="H61" s="9"/>
    </row>
    <row r="62" spans="2:8">
      <c r="B62" s="4">
        <v>60</v>
      </c>
      <c r="C62" s="5" t="str">
        <f>IFERROR(VLOOKUP(B62,[1]ENTRADAS!B:F,2,FALSE),"")</f>
        <v>SILLA DE PLASTICO ROJO</v>
      </c>
      <c r="D62" s="6" t="s">
        <v>7</v>
      </c>
      <c r="E62" s="6">
        <f>SUMIF([1]ENTRADAS!B:B,[1]INVENTARIO!B62,[1]ENTRADAS!E:E)</f>
        <v>1</v>
      </c>
      <c r="F62" s="6">
        <f>SUMIF([1]SALIDAS!B:B,[1]INVENTARIO!B62,[1]SALIDAS!E:E)</f>
        <v>0</v>
      </c>
      <c r="G62" s="6">
        <f t="shared" si="0"/>
        <v>1</v>
      </c>
      <c r="H62" s="9"/>
    </row>
    <row r="63" spans="2:8">
      <c r="B63" s="4">
        <v>61</v>
      </c>
      <c r="C63" s="5" t="str">
        <f>IFERROR(VLOOKUP(B63,[1]ENTRADAS!B:F,2,FALSE),"")</f>
        <v>ARBOL DE NAVIDAD</v>
      </c>
      <c r="D63" s="6" t="s">
        <v>7</v>
      </c>
      <c r="E63" s="6">
        <f>SUMIF([1]ENTRADAS!B:B,[1]INVENTARIO!B63,[1]ENTRADAS!E:E)</f>
        <v>74</v>
      </c>
      <c r="F63" s="6">
        <f>SUMIF([1]SALIDAS!B:B,[1]INVENTARIO!B63,[1]SALIDAS!E:E)</f>
        <v>0</v>
      </c>
      <c r="G63" s="6">
        <f t="shared" si="0"/>
        <v>74</v>
      </c>
      <c r="H63" s="9"/>
    </row>
    <row r="64" spans="2:8">
      <c r="B64" s="4">
        <v>62</v>
      </c>
      <c r="C64" s="5" t="str">
        <f>IFERROR(VLOOKUP(B64,[1]ENTRADAS!B:F,2,FALSE),"")</f>
        <v>ANIMALES DE NAVIDAD</v>
      </c>
      <c r="D64" s="6" t="s">
        <v>7</v>
      </c>
      <c r="E64" s="6">
        <f>SUMIF([1]ENTRADAS!B:B,[1]INVENTARIO!B64,[1]ENTRADAS!E:E)</f>
        <v>5</v>
      </c>
      <c r="F64" s="6">
        <f>SUMIF([1]SALIDAS!B:B,[1]INVENTARIO!B64,[1]SALIDAS!E:E)</f>
        <v>0</v>
      </c>
      <c r="G64" s="6">
        <f t="shared" si="0"/>
        <v>5</v>
      </c>
      <c r="H64" s="9"/>
    </row>
    <row r="65" spans="2:8">
      <c r="B65" s="4">
        <v>63</v>
      </c>
      <c r="C65" s="5" t="str">
        <f>IFERROR(VLOOKUP(B65,[1]ENTRADAS!B:F,2,FALSE),"")</f>
        <v>FORMAS NAVIDAD</v>
      </c>
      <c r="D65" s="6" t="s">
        <v>7</v>
      </c>
      <c r="E65" s="6">
        <f>SUMIF([1]ENTRADAS!B:B,[1]INVENTARIO!B65,[1]ENTRADAS!E:E)</f>
        <v>2</v>
      </c>
      <c r="F65" s="6">
        <f>SUMIF([1]SALIDAS!B:B,[1]INVENTARIO!B65,[1]SALIDAS!E:E)</f>
        <v>0</v>
      </c>
      <c r="G65" s="6">
        <f t="shared" si="0"/>
        <v>2</v>
      </c>
      <c r="H65" s="9"/>
    </row>
    <row r="66" spans="2:8">
      <c r="B66" s="4">
        <v>64</v>
      </c>
      <c r="C66" s="5" t="str">
        <f>IFERROR(VLOOKUP(B66,[1]ENTRADAS!B:F,2,FALSE),"")</f>
        <v>LUCES LAS FLORES</v>
      </c>
      <c r="D66" s="6" t="s">
        <v>7</v>
      </c>
      <c r="E66" s="6">
        <f>SUMIF([1]ENTRADAS!B:B,[1]INVENTARIO!B66,[1]ENTRADAS!E:E)</f>
        <v>2</v>
      </c>
      <c r="F66" s="6">
        <f>SUMIF([1]SALIDAS!B:B,[1]INVENTARIO!B66,[1]SALIDAS!E:E)</f>
        <v>0</v>
      </c>
      <c r="G66" s="6">
        <f t="shared" si="0"/>
        <v>2</v>
      </c>
      <c r="H66" s="9"/>
    </row>
    <row r="67" spans="2:8">
      <c r="B67" s="4">
        <v>65</v>
      </c>
      <c r="C67" s="5" t="str">
        <f>IFERROR(VLOOKUP(B67,[1]ENTRADAS!B:F,2,FALSE),"")</f>
        <v>LUCES FELIZ CUMPLEAÑOS</v>
      </c>
      <c r="D67" s="6" t="s">
        <v>7</v>
      </c>
      <c r="E67" s="6">
        <f>SUMIF([1]ENTRADAS!B:B,[1]INVENTARIO!B67,[1]ENTRADAS!E:E)</f>
        <v>1</v>
      </c>
      <c r="F67" s="6">
        <f>SUMIF([1]SALIDAS!B:B,[1]INVENTARIO!B67,[1]SALIDAS!E:E)</f>
        <v>0</v>
      </c>
      <c r="G67" s="6">
        <f t="shared" ref="G67:G130" si="1">E67-F67</f>
        <v>1</v>
      </c>
      <c r="H67" s="9"/>
    </row>
    <row r="68" spans="2:8">
      <c r="B68" s="4">
        <v>66</v>
      </c>
      <c r="C68" s="5" t="str">
        <f>IFERROR(VLOOKUP(B68,[1]ENTRADAS!B:F,2,FALSE),"")</f>
        <v>DECORACION NUESTRO MATRIMINIO</v>
      </c>
      <c r="D68" s="6" t="s">
        <v>7</v>
      </c>
      <c r="E68" s="6">
        <f>SUMIF([1]ENTRADAS!B:B,[1]INVENTARIO!B68,[1]ENTRADAS!E:E)</f>
        <v>1</v>
      </c>
      <c r="F68" s="6">
        <f>SUMIF([1]SALIDAS!B:B,[1]INVENTARIO!B68,[1]SALIDAS!E:E)</f>
        <v>0</v>
      </c>
      <c r="G68" s="6">
        <f t="shared" si="1"/>
        <v>1</v>
      </c>
      <c r="H68" s="9"/>
    </row>
    <row r="69" spans="2:8">
      <c r="B69" s="4">
        <v>67</v>
      </c>
      <c r="C69" s="5" t="str">
        <f>IFERROR(VLOOKUP(B69,[1]ENTRADAS!B:F,2,FALSE),"")</f>
        <v>DECORACION MI BAUTIZO</v>
      </c>
      <c r="D69" s="6" t="s">
        <v>7</v>
      </c>
      <c r="E69" s="6">
        <f>SUMIF([1]ENTRADAS!B:B,[1]INVENTARIO!B69,[1]ENTRADAS!E:E)</f>
        <v>1</v>
      </c>
      <c r="F69" s="6">
        <f>SUMIF([1]SALIDAS!B:B,[1]INVENTARIO!B69,[1]SALIDAS!E:E)</f>
        <v>0</v>
      </c>
      <c r="G69" s="6">
        <f t="shared" si="1"/>
        <v>1</v>
      </c>
      <c r="H69" s="9"/>
    </row>
    <row r="70" spans="2:8">
      <c r="B70" s="4">
        <v>68</v>
      </c>
      <c r="C70" s="5" t="str">
        <f>IFERROR(VLOOKUP(B70,[1]ENTRADAS!B:F,2,FALSE),"")</f>
        <v>MARCO DE PROPAGANDA CUSQUEÑA</v>
      </c>
      <c r="D70" s="6" t="s">
        <v>7</v>
      </c>
      <c r="E70" s="6">
        <f>SUMIF([1]ENTRADAS!B:B,[1]INVENTARIO!B70,[1]ENTRADAS!E:E)</f>
        <v>1</v>
      </c>
      <c r="F70" s="6">
        <f>SUMIF([1]SALIDAS!B:B,[1]INVENTARIO!B70,[1]SALIDAS!E:E)</f>
        <v>0</v>
      </c>
      <c r="G70" s="6">
        <f t="shared" si="1"/>
        <v>1</v>
      </c>
      <c r="H70" s="9"/>
    </row>
    <row r="71" spans="2:8">
      <c r="B71" s="4">
        <v>69</v>
      </c>
      <c r="C71" s="5" t="str">
        <f>IFERROR(VLOOKUP(B71,[1]ENTRADAS!B:F,2,FALSE),"")</f>
        <v>SILLA DE BEBE</v>
      </c>
      <c r="D71" s="6" t="s">
        <v>7</v>
      </c>
      <c r="E71" s="6">
        <f>SUMIF([1]ENTRADAS!B:B,[1]INVENTARIO!B71,[1]ENTRADAS!E:E)</f>
        <v>2</v>
      </c>
      <c r="F71" s="6">
        <f>SUMIF([1]SALIDAS!B:B,[1]INVENTARIO!B71,[1]SALIDAS!E:E)</f>
        <v>0</v>
      </c>
      <c r="G71" s="6">
        <f t="shared" si="1"/>
        <v>2</v>
      </c>
      <c r="H71" s="9"/>
    </row>
    <row r="72" spans="2:8">
      <c r="B72" s="4">
        <v>70</v>
      </c>
      <c r="C72" s="5" t="str">
        <f>IFERROR(VLOOKUP(B72,[1]ENTRADAS!B:F,2,FALSE),"")</f>
        <v>TRIPODE PARA PINTAR</v>
      </c>
      <c r="D72" s="6" t="s">
        <v>7</v>
      </c>
      <c r="E72" s="6">
        <f>SUMIF([1]ENTRADAS!B:B,[1]INVENTARIO!B72,[1]ENTRADAS!E:E)</f>
        <v>1</v>
      </c>
      <c r="F72" s="6">
        <f>SUMIF([1]SALIDAS!B:B,[1]INVENTARIO!B72,[1]SALIDAS!E:E)</f>
        <v>0</v>
      </c>
      <c r="G72" s="6">
        <f t="shared" si="1"/>
        <v>1</v>
      </c>
      <c r="H72" s="9"/>
    </row>
    <row r="73" spans="2:8">
      <c r="B73" s="4">
        <v>71</v>
      </c>
      <c r="C73" s="5" t="str">
        <f>IFERROR(VLOOKUP(B73,[1]ENTRADAS!B:F,2,FALSE),"")</f>
        <v>MESA DE SERVICIO INKA COLA</v>
      </c>
      <c r="D73" s="6" t="s">
        <v>7</v>
      </c>
      <c r="E73" s="6">
        <f>SUMIF([1]ENTRADAS!B:B,[1]INVENTARIO!B73,[1]ENTRADAS!E:E)</f>
        <v>4</v>
      </c>
      <c r="F73" s="6">
        <f>SUMIF([1]SALIDAS!B:B,[1]INVENTARIO!B73,[1]SALIDAS!E:E)</f>
        <v>0</v>
      </c>
      <c r="G73" s="6">
        <f t="shared" si="1"/>
        <v>4</v>
      </c>
      <c r="H73" s="9"/>
    </row>
    <row r="74" spans="2:8">
      <c r="B74" s="4">
        <v>72</v>
      </c>
      <c r="C74" s="5" t="str">
        <f>IFERROR(VLOOKUP(B74,[1]ENTRADAS!B:F,2,FALSE),"")</f>
        <v>MANTELES BLANCOS</v>
      </c>
      <c r="D74" s="6" t="s">
        <v>7</v>
      </c>
      <c r="E74" s="6">
        <f>SUMIF([1]ENTRADAS!B:B,[1]INVENTARIO!B74,[1]ENTRADAS!E:E)</f>
        <v>1</v>
      </c>
      <c r="F74" s="6">
        <f>SUMIF([1]SALIDAS!B:B,[1]INVENTARIO!B74,[1]SALIDAS!E:E)</f>
        <v>0</v>
      </c>
      <c r="G74" s="6">
        <f t="shared" si="1"/>
        <v>1</v>
      </c>
      <c r="H74" s="9"/>
    </row>
    <row r="75" spans="2:8">
      <c r="B75" s="4">
        <v>73</v>
      </c>
      <c r="C75" s="5" t="str">
        <f>IFERROR(VLOOKUP(B75,[1]ENTRADAS!B:F,2,FALSE),"")</f>
        <v>MANTEL ROSA</v>
      </c>
      <c r="D75" s="6" t="s">
        <v>7</v>
      </c>
      <c r="E75" s="6">
        <f>SUMIF([1]ENTRADAS!B:B,[1]INVENTARIO!B75,[1]ENTRADAS!E:E)</f>
        <v>61</v>
      </c>
      <c r="F75" s="6">
        <f>SUMIF([1]SALIDAS!B:B,[1]INVENTARIO!B75,[1]SALIDAS!E:E)</f>
        <v>0</v>
      </c>
      <c r="G75" s="6">
        <f t="shared" si="1"/>
        <v>61</v>
      </c>
      <c r="H75" s="9"/>
    </row>
    <row r="76" spans="2:8">
      <c r="B76" s="4">
        <v>74</v>
      </c>
      <c r="C76" s="5" t="str">
        <f>IFERROR(VLOOKUP(B76,[1]ENTRADAS!B:F,2,FALSE),"")</f>
        <v>MANTEL CIRCULAR</v>
      </c>
      <c r="D76" s="6" t="s">
        <v>7</v>
      </c>
      <c r="E76" s="6">
        <f>SUMIF([1]ENTRADAS!B:B,[1]INVENTARIO!B76,[1]ENTRADAS!E:E)</f>
        <v>19</v>
      </c>
      <c r="F76" s="6">
        <f>SUMIF([1]SALIDAS!B:B,[1]INVENTARIO!B76,[1]SALIDAS!E:E)</f>
        <v>0</v>
      </c>
      <c r="G76" s="6">
        <f t="shared" si="1"/>
        <v>19</v>
      </c>
      <c r="H76" s="9"/>
    </row>
    <row r="77" spans="2:8">
      <c r="B77" s="4">
        <v>75</v>
      </c>
      <c r="C77" s="5" t="str">
        <f>IFERROR(VLOOKUP(B77,[1]ENTRADAS!B:F,2,FALSE),"")</f>
        <v>CARAMELO LAS FLORES</v>
      </c>
      <c r="D77" s="6" t="s">
        <v>9</v>
      </c>
      <c r="E77" s="6">
        <f>SUMIF([1]ENTRADAS!B:B,[1]INVENTARIO!B77,[1]ENTRADAS!E:E)</f>
        <v>8</v>
      </c>
      <c r="F77" s="6">
        <f>SUMIF([1]SALIDAS!B:B,[1]INVENTARIO!B77,[1]SALIDAS!E:E)</f>
        <v>0</v>
      </c>
      <c r="G77" s="6">
        <f t="shared" si="1"/>
        <v>8</v>
      </c>
      <c r="H77" s="9"/>
    </row>
    <row r="78" spans="2:8">
      <c r="B78" s="4">
        <v>76</v>
      </c>
      <c r="C78" s="5" t="str">
        <f>IFERROR(VLOOKUP(B78,[1]ENTRADAS!B:F,2,FALSE),"")</f>
        <v>CULER GRANDE </v>
      </c>
      <c r="D78" s="6" t="s">
        <v>7</v>
      </c>
      <c r="E78" s="6">
        <f>SUMIF([1]ENTRADAS!B:B,[1]INVENTARIO!B78,[1]ENTRADAS!E:E)</f>
        <v>750</v>
      </c>
      <c r="F78" s="6">
        <f>SUMIF([1]SALIDAS!B:B,[1]INVENTARIO!B78,[1]SALIDAS!E:E)</f>
        <v>50</v>
      </c>
      <c r="G78" s="6">
        <f t="shared" si="1"/>
        <v>700</v>
      </c>
      <c r="H78" s="9"/>
    </row>
    <row r="79" spans="2:8">
      <c r="B79" s="4">
        <v>77</v>
      </c>
      <c r="C79" s="5" t="str">
        <f>IFERROR(VLOOKUP(B79,[1]ENTRADAS!B:F,2,FALSE),"")</f>
        <v>CULER PEQUEÑO</v>
      </c>
      <c r="D79" s="6" t="s">
        <v>7</v>
      </c>
      <c r="E79" s="6">
        <f>SUMIF([1]ENTRADAS!B:B,[1]INVENTARIO!B79,[1]ENTRADAS!E:E)</f>
        <v>1</v>
      </c>
      <c r="F79" s="6">
        <f>SUMIF([1]SALIDAS!B:B,[1]INVENTARIO!B79,[1]SALIDAS!E:E)</f>
        <v>0</v>
      </c>
      <c r="G79" s="6">
        <f t="shared" si="1"/>
        <v>1</v>
      </c>
      <c r="H79" s="9"/>
    </row>
    <row r="80" spans="2:8">
      <c r="B80" s="4">
        <v>78</v>
      </c>
      <c r="C80" s="5" t="str">
        <f>IFERROR(VLOOKUP(B80,[1]ENTRADAS!B:F,2,FALSE),"")</f>
        <v>TINA 100L</v>
      </c>
      <c r="D80" s="6" t="s">
        <v>7</v>
      </c>
      <c r="E80" s="6">
        <f>SUMIF([1]ENTRADAS!B:B,[1]INVENTARIO!B80,[1]ENTRADAS!E:E)</f>
        <v>8</v>
      </c>
      <c r="F80" s="6">
        <f>SUMIF([1]SALIDAS!B:B,[1]INVENTARIO!B80,[1]SALIDAS!E:E)</f>
        <v>0</v>
      </c>
      <c r="G80" s="6">
        <f t="shared" si="1"/>
        <v>8</v>
      </c>
      <c r="H80" s="9"/>
    </row>
    <row r="81" spans="2:8">
      <c r="B81" s="4">
        <v>79</v>
      </c>
      <c r="C81" s="5" t="str">
        <f>IFERROR(VLOOKUP(B81,[1]ENTRADAS!B:F,2,FALSE),"")</f>
        <v>TINA 50L</v>
      </c>
      <c r="D81" s="6" t="s">
        <v>7</v>
      </c>
      <c r="E81" s="6">
        <f>SUMIF([1]ENTRADAS!B:B,[1]INVENTARIO!B81,[1]ENTRADAS!E:E)</f>
        <v>2</v>
      </c>
      <c r="F81" s="6">
        <f>SUMIF([1]SALIDAS!B:B,[1]INVENTARIO!B81,[1]SALIDAS!E:E)</f>
        <v>0</v>
      </c>
      <c r="G81" s="6">
        <f t="shared" si="1"/>
        <v>2</v>
      </c>
      <c r="H81" s="9"/>
    </row>
    <row r="82" spans="2:8">
      <c r="B82" s="4">
        <v>80</v>
      </c>
      <c r="C82" s="5" t="str">
        <f>IFERROR(VLOOKUP(B82,[1]ENTRADAS!B:F,2,FALSE),"")</f>
        <v>TINA 30L</v>
      </c>
      <c r="D82" s="6" t="s">
        <v>7</v>
      </c>
      <c r="E82" s="6">
        <f>SUMIF([1]ENTRADAS!B:B,[1]INVENTARIO!B82,[1]ENTRADAS!E:E)</f>
        <v>4</v>
      </c>
      <c r="F82" s="6">
        <f>SUMIF([1]SALIDAS!B:B,[1]INVENTARIO!B82,[1]SALIDAS!E:E)</f>
        <v>0</v>
      </c>
      <c r="G82" s="6">
        <f t="shared" si="1"/>
        <v>4</v>
      </c>
      <c r="H82" s="9"/>
    </row>
    <row r="83" spans="2:8">
      <c r="B83" s="4">
        <v>81</v>
      </c>
      <c r="C83" s="5" t="str">
        <f>IFERROR(VLOOKUP(B83,[1]ENTRADAS!B:F,2,FALSE),"")</f>
        <v>EXTINTORES</v>
      </c>
      <c r="D83" s="6" t="s">
        <v>7</v>
      </c>
      <c r="E83" s="6">
        <f>SUMIF([1]ENTRADAS!B:B,[1]INVENTARIO!B83,[1]ENTRADAS!E:E)</f>
        <v>8</v>
      </c>
      <c r="F83" s="6">
        <f>SUMIF([1]SALIDAS!B:B,[1]INVENTARIO!B83,[1]SALIDAS!E:E)</f>
        <v>0</v>
      </c>
      <c r="G83" s="6">
        <f t="shared" si="1"/>
        <v>8</v>
      </c>
      <c r="H83" s="9"/>
    </row>
    <row r="84" spans="2:8">
      <c r="B84" s="4">
        <v>82</v>
      </c>
      <c r="C84" s="5" t="str">
        <f>IFERROR(VLOOKUP(B84,[1]ENTRADAS!B:F,2,FALSE),"")</f>
        <v>MOCHILA DE FUNIGACION</v>
      </c>
      <c r="D84" s="6" t="s">
        <v>7</v>
      </c>
      <c r="E84" s="6">
        <f>SUMIF([1]ENTRADAS!B:B,[1]INVENTARIO!B84,[1]ENTRADAS!E:E)</f>
        <v>3</v>
      </c>
      <c r="F84" s="6">
        <f>SUMIF([1]SALIDAS!B:B,[1]INVENTARIO!B84,[1]SALIDAS!E:E)</f>
        <v>0</v>
      </c>
      <c r="G84" s="6">
        <f t="shared" si="1"/>
        <v>3</v>
      </c>
      <c r="H84" s="9"/>
    </row>
    <row r="85" spans="2:8">
      <c r="B85" s="4">
        <v>83</v>
      </c>
      <c r="C85" s="5" t="str">
        <f>IFERROR(VLOOKUP(B85,[1]ENTRADAS!B:F,2,FALSE),"")</f>
        <v>CANALETA DE LUZ GRUESO</v>
      </c>
      <c r="D85" s="6" t="s">
        <v>7</v>
      </c>
      <c r="E85" s="6">
        <f>SUMIF([1]ENTRADAS!B:B,[1]INVENTARIO!B85,[1]ENTRADAS!E:E)</f>
        <v>2</v>
      </c>
      <c r="F85" s="6">
        <f>SUMIF([1]SALIDAS!B:B,[1]INVENTARIO!B85,[1]SALIDAS!E:E)</f>
        <v>0</v>
      </c>
      <c r="G85" s="6">
        <f t="shared" si="1"/>
        <v>2</v>
      </c>
      <c r="H85" s="9"/>
    </row>
    <row r="86" spans="2:8">
      <c r="B86" s="4">
        <v>84</v>
      </c>
      <c r="C86" s="5" t="str">
        <f>IFERROR(VLOOKUP(B86,[1]ENTRADAS!B:F,2,FALSE),"")</f>
        <v>CANALETA DE LUZ DELGADO</v>
      </c>
      <c r="D86" s="6" t="s">
        <v>7</v>
      </c>
      <c r="E86" s="6">
        <f>SUMIF([1]ENTRADAS!B:B,[1]INVENTARIO!B86,[1]ENTRADAS!E:E)</f>
        <v>6</v>
      </c>
      <c r="F86" s="6">
        <f>SUMIF([1]SALIDAS!B:B,[1]INVENTARIO!B86,[1]SALIDAS!E:E)</f>
        <v>0</v>
      </c>
      <c r="G86" s="6">
        <f t="shared" si="1"/>
        <v>6</v>
      </c>
      <c r="H86" s="9"/>
    </row>
    <row r="87" spans="2:8">
      <c r="B87" s="4">
        <v>85</v>
      </c>
      <c r="C87" s="5" t="str">
        <f>IFERROR(VLOOKUP(B87,[1]ENTRADAS!B:F,2,FALSE),"")</f>
        <v>ESTABILIZADOR DE ENERGIA</v>
      </c>
      <c r="D87" s="6" t="s">
        <v>7</v>
      </c>
      <c r="E87" s="6">
        <f>SUMIF([1]ENTRADAS!B:B,[1]INVENTARIO!B87,[1]ENTRADAS!E:E)</f>
        <v>6</v>
      </c>
      <c r="F87" s="6">
        <f>SUMIF([1]SALIDAS!B:B,[1]INVENTARIO!B87,[1]SALIDAS!E:E)</f>
        <v>0</v>
      </c>
      <c r="G87" s="6">
        <f t="shared" si="1"/>
        <v>6</v>
      </c>
      <c r="H87" s="9"/>
    </row>
    <row r="88" spans="2:8">
      <c r="B88" s="4">
        <v>86</v>
      </c>
      <c r="C88" s="5" t="str">
        <f>IFERROR(VLOOKUP(B88,[1]ENTRADAS!B:F,2,FALSE),"")</f>
        <v>TECLADO</v>
      </c>
      <c r="D88" s="6" t="s">
        <v>7</v>
      </c>
      <c r="E88" s="6">
        <f>SUMIF([1]ENTRADAS!B:B,[1]INVENTARIO!B88,[1]ENTRADAS!E:E)</f>
        <v>6</v>
      </c>
      <c r="F88" s="6">
        <f>SUMIF([1]SALIDAS!B:B,[1]INVENTARIO!B88,[1]SALIDAS!E:E)</f>
        <v>0</v>
      </c>
      <c r="G88" s="6">
        <f t="shared" si="1"/>
        <v>6</v>
      </c>
      <c r="H88" s="9"/>
    </row>
    <row r="89" spans="2:8">
      <c r="B89" s="4">
        <v>87</v>
      </c>
      <c r="C89" s="5" t="str">
        <f>IFERROR(VLOOKUP(B89,[1]ENTRADAS!B:F,2,FALSE),"")</f>
        <v>REGLETA TELEFONICA</v>
      </c>
      <c r="D89" s="6" t="s">
        <v>7</v>
      </c>
      <c r="E89" s="6">
        <f>SUMIF([1]ENTRADAS!B:B,[1]INVENTARIO!B89,[1]ENTRADAS!E:E)</f>
        <v>3</v>
      </c>
      <c r="F89" s="6">
        <f>SUMIF([1]SALIDAS!B:B,[1]INVENTARIO!B89,[1]SALIDAS!E:E)</f>
        <v>0</v>
      </c>
      <c r="G89" s="6">
        <f t="shared" si="1"/>
        <v>3</v>
      </c>
      <c r="H89" s="9"/>
    </row>
    <row r="90" spans="2:8">
      <c r="B90" s="4">
        <v>88</v>
      </c>
      <c r="C90" s="5" t="str">
        <f>IFERROR(VLOOKUP(B90,[1]ENTRADAS!B:F,2,FALSE),"")</f>
        <v>SWITCH DE RED</v>
      </c>
      <c r="D90" s="6" t="s">
        <v>7</v>
      </c>
      <c r="E90" s="6">
        <f>SUMIF([1]ENTRADAS!B:B,[1]INVENTARIO!B90,[1]ENTRADAS!E:E)</f>
        <v>2</v>
      </c>
      <c r="F90" s="6">
        <f>SUMIF([1]SALIDAS!B:B,[1]INVENTARIO!B90,[1]SALIDAS!E:E)</f>
        <v>0</v>
      </c>
      <c r="G90" s="6">
        <f t="shared" si="1"/>
        <v>2</v>
      </c>
      <c r="H90" s="9"/>
    </row>
    <row r="91" spans="2:8">
      <c r="B91" s="4">
        <v>89</v>
      </c>
      <c r="C91" s="5" t="str">
        <f>IFERROR(VLOOKUP(B91,[1]ENTRADAS!B:F,2,FALSE),"")</f>
        <v>PARLANTE HALION</v>
      </c>
      <c r="D91" s="6" t="s">
        <v>7</v>
      </c>
      <c r="E91" s="6">
        <f>SUMIF([1]ENTRADAS!B:B,[1]INVENTARIO!B91,[1]ENTRADAS!E:E)</f>
        <v>3</v>
      </c>
      <c r="F91" s="6">
        <f>SUMIF([1]SALIDAS!B:B,[1]INVENTARIO!B91,[1]SALIDAS!E:E)</f>
        <v>0</v>
      </c>
      <c r="G91" s="6">
        <f t="shared" si="1"/>
        <v>3</v>
      </c>
      <c r="H91" s="9"/>
    </row>
    <row r="92" spans="2:8">
      <c r="B92" s="4">
        <v>90</v>
      </c>
      <c r="C92" s="5" t="str">
        <f>IFERROR(VLOOKUP(B92,[1]ENTRADAS!B:F,2,FALSE),"")</f>
        <v>MOUSE</v>
      </c>
      <c r="D92" s="6" t="s">
        <v>7</v>
      </c>
      <c r="E92" s="6">
        <f>SUMIF([1]ENTRADAS!B:B,[1]INVENTARIO!B92,[1]ENTRADAS!E:E)</f>
        <v>2</v>
      </c>
      <c r="F92" s="6">
        <f>SUMIF([1]SALIDAS!B:B,[1]INVENTARIO!B92,[1]SALIDAS!E:E)</f>
        <v>0</v>
      </c>
      <c r="G92" s="6">
        <f t="shared" si="1"/>
        <v>2</v>
      </c>
      <c r="H92" s="9"/>
    </row>
    <row r="93" spans="2:8">
      <c r="B93" s="4">
        <v>91</v>
      </c>
      <c r="C93" s="5" t="str">
        <f>IFERROR(VLOOKUP(B93,[1]ENTRADAS!B:F,2,FALSE),"")</f>
        <v>LUCES DE EMERGENCIA</v>
      </c>
      <c r="D93" s="6" t="s">
        <v>7</v>
      </c>
      <c r="E93" s="6">
        <f>SUMIF([1]ENTRADAS!B:B,[1]INVENTARIO!B93,[1]ENTRADAS!E:E)</f>
        <v>2</v>
      </c>
      <c r="F93" s="6">
        <f>SUMIF([1]SALIDAS!B:B,[1]INVENTARIO!B93,[1]SALIDAS!E:E)</f>
        <v>0</v>
      </c>
      <c r="G93" s="6">
        <f t="shared" si="1"/>
        <v>2</v>
      </c>
      <c r="H93" s="9"/>
    </row>
    <row r="94" spans="2:8">
      <c r="B94" s="4">
        <v>92</v>
      </c>
      <c r="C94" s="5" t="str">
        <f>IFERROR(VLOOKUP(B94,[1]ENTRADAS!B:F,2,FALSE),"")</f>
        <v>ESMALTE AEROSOL</v>
      </c>
      <c r="D94" s="6" t="s">
        <v>7</v>
      </c>
      <c r="E94" s="6">
        <f>SUMIF([1]ENTRADAS!B:B,[1]INVENTARIO!B94,[1]ENTRADAS!E:E)</f>
        <v>5</v>
      </c>
      <c r="F94" s="6">
        <f>SUMIF([1]SALIDAS!B:B,[1]INVENTARIO!B94,[1]SALIDAS!E:E)</f>
        <v>0</v>
      </c>
      <c r="G94" s="6">
        <f t="shared" si="1"/>
        <v>5</v>
      </c>
      <c r="H94" s="9"/>
    </row>
    <row r="95" spans="2:8">
      <c r="B95" s="4">
        <v>93</v>
      </c>
      <c r="C95" s="5" t="str">
        <f>IFERROR(VLOOKUP(B95,[1]ENTRADAS!B:F,2,FALSE),"")</f>
        <v>SACA GRASA</v>
      </c>
      <c r="D95" s="6" t="s">
        <v>7</v>
      </c>
      <c r="E95" s="6">
        <f>SUMIF([1]ENTRADAS!B:B,[1]INVENTARIO!B95,[1]ENTRADAS!E:E)</f>
        <v>1</v>
      </c>
      <c r="F95" s="6">
        <f>SUMIF([1]SALIDAS!B:B,[1]INVENTARIO!B95,[1]SALIDAS!E:E)</f>
        <v>0</v>
      </c>
      <c r="G95" s="6">
        <f t="shared" si="1"/>
        <v>1</v>
      </c>
      <c r="H95" s="9"/>
    </row>
    <row r="96" spans="2:8">
      <c r="B96" s="4">
        <v>94</v>
      </c>
      <c r="C96" s="5" t="str">
        <f>IFERROR(VLOOKUP(B96,[1]ENTRADAS!B:F,2,FALSE),"")</f>
        <v>PINTURA NEGRA AEROSOL</v>
      </c>
      <c r="D96" s="6" t="s">
        <v>7</v>
      </c>
      <c r="E96" s="6">
        <f>SUMIF([1]ENTRADAS!B:B,[1]INVENTARIO!B96,[1]ENTRADAS!E:E)</f>
        <v>1</v>
      </c>
      <c r="F96" s="6">
        <f>SUMIF([1]SALIDAS!B:B,[1]INVENTARIO!B96,[1]SALIDAS!E:E)</f>
        <v>0</v>
      </c>
      <c r="G96" s="6">
        <f t="shared" si="1"/>
        <v>1</v>
      </c>
      <c r="H96" s="9"/>
    </row>
    <row r="97" spans="2:8">
      <c r="B97" s="4">
        <v>95</v>
      </c>
      <c r="C97" s="5" t="str">
        <f>IFERROR(VLOOKUP(B97,[1]ENTRADAS!B:F,2,FALSE),"")</f>
        <v>BALANZA LUXXE</v>
      </c>
      <c r="D97" s="6" t="s">
        <v>7</v>
      </c>
      <c r="E97" s="6">
        <f>SUMIF([1]ENTRADAS!B:B,[1]INVENTARIO!B97,[1]ENTRADAS!E:E)</f>
        <v>3</v>
      </c>
      <c r="F97" s="6">
        <f>SUMIF([1]SALIDAS!B:B,[1]INVENTARIO!B97,[1]SALIDAS!E:E)</f>
        <v>0</v>
      </c>
      <c r="G97" s="6">
        <f t="shared" si="1"/>
        <v>3</v>
      </c>
      <c r="H97" s="9"/>
    </row>
    <row r="98" spans="2:8">
      <c r="B98" s="4">
        <v>96</v>
      </c>
      <c r="C98" s="5" t="str">
        <f>IFERROR(VLOOKUP(B98,[1]ENTRADAS!B:F,2,FALSE),"")</f>
        <v>TRAGA LUZ</v>
      </c>
      <c r="D98" s="6" t="s">
        <v>7</v>
      </c>
      <c r="E98" s="6">
        <f>SUMIF([1]ENTRADAS!B:B,[1]INVENTARIO!B98,[1]ENTRADAS!E:E)</f>
        <v>1</v>
      </c>
      <c r="F98" s="6">
        <f>SUMIF([1]SALIDAS!B:B,[1]INVENTARIO!B98,[1]SALIDAS!E:E)</f>
        <v>0</v>
      </c>
      <c r="G98" s="6">
        <f t="shared" si="1"/>
        <v>1</v>
      </c>
      <c r="H98" s="9"/>
    </row>
    <row r="99" spans="2:8">
      <c r="B99" s="4">
        <v>97</v>
      </c>
      <c r="C99" s="5" t="str">
        <f>IFERROR(VLOOKUP(B99,[1]ENTRADAS!B:F,2,FALSE),"")</f>
        <v>CHAPA CERRADURA DE PUERTA</v>
      </c>
      <c r="D99" s="6" t="s">
        <v>7</v>
      </c>
      <c r="E99" s="6">
        <f>SUMIF([1]ENTRADAS!B:B,[1]INVENTARIO!B99,[1]ENTRADAS!E:E)</f>
        <v>3</v>
      </c>
      <c r="F99" s="6">
        <f>SUMIF([1]SALIDAS!B:B,[1]INVENTARIO!B99,[1]SALIDAS!E:E)</f>
        <v>0</v>
      </c>
      <c r="G99" s="6">
        <f t="shared" si="1"/>
        <v>3</v>
      </c>
      <c r="H99" s="9"/>
    </row>
    <row r="100" spans="2:8">
      <c r="B100" s="4">
        <v>98</v>
      </c>
      <c r="C100" s="5" t="str">
        <f>IFERROR(VLOOKUP(B100,[1]ENTRADAS!B:F,2,FALSE),"")</f>
        <v>CAJA MODULAR 2X4</v>
      </c>
      <c r="D100" s="6" t="s">
        <v>7</v>
      </c>
      <c r="E100" s="6">
        <f>SUMIF([1]ENTRADAS!B:B,[1]INVENTARIO!B100,[1]ENTRADAS!E:E)</f>
        <v>3</v>
      </c>
      <c r="F100" s="6">
        <f>SUMIF([1]SALIDAS!B:B,[1]INVENTARIO!B100,[1]SALIDAS!E:E)</f>
        <v>0</v>
      </c>
      <c r="G100" s="6">
        <f t="shared" si="1"/>
        <v>3</v>
      </c>
      <c r="H100" s="9"/>
    </row>
    <row r="101" spans="2:8">
      <c r="B101" s="4">
        <v>99</v>
      </c>
      <c r="C101" s="5" t="str">
        <f>IFERROR(VLOOKUP(B101,[1]ENTRADAS!B:F,2,FALSE),"")</f>
        <v>GABINETE DE LLAVES TERMICAS</v>
      </c>
      <c r="D101" s="6" t="s">
        <v>7</v>
      </c>
      <c r="E101" s="6">
        <f>SUMIF([1]ENTRADAS!B:B,[1]INVENTARIO!B101,[1]ENTRADAS!E:E)</f>
        <v>4</v>
      </c>
      <c r="F101" s="6">
        <f>SUMIF([1]SALIDAS!B:B,[1]INVENTARIO!B101,[1]SALIDAS!E:E)</f>
        <v>0</v>
      </c>
      <c r="G101" s="6">
        <f t="shared" si="1"/>
        <v>4</v>
      </c>
      <c r="H101" s="9"/>
    </row>
    <row r="102" spans="2:8">
      <c r="B102" s="4">
        <v>100</v>
      </c>
      <c r="C102" s="5" t="str">
        <f>IFERROR(VLOOKUP(B102,[1]ENTRADAS!B:F,2,FALSE),"")</f>
        <v>TOMA CORRIENTE</v>
      </c>
      <c r="D102" s="6" t="s">
        <v>7</v>
      </c>
      <c r="E102" s="6">
        <f>SUMIF([1]ENTRADAS!B:B,[1]INVENTARIO!B102,[1]ENTRADAS!E:E)</f>
        <v>1</v>
      </c>
      <c r="F102" s="6">
        <f>SUMIF([1]SALIDAS!B:B,[1]INVENTARIO!B102,[1]SALIDAS!E:E)</f>
        <v>0</v>
      </c>
      <c r="G102" s="6">
        <f t="shared" si="1"/>
        <v>1</v>
      </c>
      <c r="H102" s="9"/>
    </row>
    <row r="103" spans="2:8">
      <c r="B103" s="4">
        <v>101</v>
      </c>
      <c r="C103" s="5" t="str">
        <f>IFERROR(VLOOKUP(B103,[1]ENTRADAS!B:F,2,FALSE),"")</f>
        <v>SOQUETE DE LUZ</v>
      </c>
      <c r="D103" s="6" t="s">
        <v>7</v>
      </c>
      <c r="E103" s="6">
        <f>SUMIF([1]ENTRADAS!B:B,[1]INVENTARIO!B103,[1]ENTRADAS!E:E)</f>
        <v>8</v>
      </c>
      <c r="F103" s="6">
        <f>SUMIF([1]SALIDAS!B:B,[1]INVENTARIO!B103,[1]SALIDAS!E:E)</f>
        <v>0</v>
      </c>
      <c r="G103" s="6">
        <f t="shared" si="1"/>
        <v>8</v>
      </c>
      <c r="H103" s="9"/>
    </row>
    <row r="104" spans="2:8">
      <c r="B104" s="4">
        <v>102</v>
      </c>
      <c r="C104" s="5" t="str">
        <f>IFERROR(VLOOKUP(B104,[1]ENTRADAS!B:F,2,FALSE),"")</f>
        <v>INTERRUPTOR</v>
      </c>
      <c r="D104" s="6" t="s">
        <v>7</v>
      </c>
      <c r="E104" s="6">
        <f>SUMIF([1]ENTRADAS!B:B,[1]INVENTARIO!B104,[1]ENTRADAS!E:E)</f>
        <v>2</v>
      </c>
      <c r="F104" s="6">
        <f>SUMIF([1]SALIDAS!B:B,[1]INVENTARIO!B104,[1]SALIDAS!E:E)</f>
        <v>0</v>
      </c>
      <c r="G104" s="6">
        <f t="shared" si="1"/>
        <v>2</v>
      </c>
      <c r="H104" s="9"/>
    </row>
    <row r="105" spans="2:8">
      <c r="B105" s="4">
        <v>103</v>
      </c>
      <c r="C105" s="5" t="str">
        <f>IFERROR(VLOOKUP(B105,[1]ENTRADAS!B:F,2,FALSE),"")</f>
        <v>CONTROL TV</v>
      </c>
      <c r="D105" s="6" t="s">
        <v>7</v>
      </c>
      <c r="E105" s="6">
        <f>SUMIF([1]ENTRADAS!B:B,[1]INVENTARIO!B105,[1]ENTRADAS!E:E)</f>
        <v>4</v>
      </c>
      <c r="F105" s="6">
        <f>SUMIF([1]SALIDAS!B:B,[1]INVENTARIO!B105,[1]SALIDAS!E:E)</f>
        <v>0</v>
      </c>
      <c r="G105" s="6">
        <f t="shared" si="1"/>
        <v>4</v>
      </c>
      <c r="H105" s="9"/>
    </row>
    <row r="106" spans="2:8">
      <c r="B106" s="4">
        <v>104</v>
      </c>
      <c r="C106" s="5" t="str">
        <f>IFERROR(VLOOKUP(B106,[1]ENTRADAS!B:F,2,FALSE),"")</f>
        <v>FOCO GIRNALDA </v>
      </c>
      <c r="D106" s="6" t="s">
        <v>7</v>
      </c>
      <c r="E106" s="6">
        <f>SUMIF([1]ENTRADAS!B:B,[1]INVENTARIO!B106,[1]ENTRADAS!E:E)</f>
        <v>7</v>
      </c>
      <c r="F106" s="6">
        <f>SUMIF([1]SALIDAS!B:B,[1]INVENTARIO!B106,[1]SALIDAS!E:E)</f>
        <v>0</v>
      </c>
      <c r="G106" s="6">
        <f t="shared" si="1"/>
        <v>7</v>
      </c>
      <c r="H106" s="9"/>
    </row>
    <row r="107" spans="2:8">
      <c r="B107" s="4">
        <v>105</v>
      </c>
      <c r="C107" s="5" t="str">
        <f>IFERROR(VLOOKUP(B107,[1]ENTRADAS!B:F,2,FALSE),"")</f>
        <v>FOCO LED 10.5 W</v>
      </c>
      <c r="D107" s="6" t="s">
        <v>7</v>
      </c>
      <c r="E107" s="6">
        <f>SUMIF([1]ENTRADAS!B:B,[1]INVENTARIO!B107,[1]ENTRADAS!E:E)</f>
        <v>13</v>
      </c>
      <c r="F107" s="6">
        <f>SUMIF([1]SALIDAS!B:B,[1]INVENTARIO!B107,[1]SALIDAS!E:E)</f>
        <v>0</v>
      </c>
      <c r="G107" s="6">
        <f t="shared" si="1"/>
        <v>13</v>
      </c>
      <c r="H107" s="9"/>
    </row>
    <row r="108" spans="2:8">
      <c r="B108" s="4">
        <v>106</v>
      </c>
      <c r="C108" s="5" t="str">
        <f>IFERROR(VLOOKUP(B108,[1]ENTRADAS!B:F,2,FALSE),"")</f>
        <v>FOCO LED BLACO FRIO</v>
      </c>
      <c r="D108" s="6" t="s">
        <v>7</v>
      </c>
      <c r="E108" s="6">
        <f>SUMIF([1]ENTRADAS!B:B,[1]INVENTARIO!B108,[1]ENTRADAS!E:E)</f>
        <v>28</v>
      </c>
      <c r="F108" s="6">
        <f>SUMIF([1]SALIDAS!B:B,[1]INVENTARIO!B108,[1]SALIDAS!E:E)</f>
        <v>0</v>
      </c>
      <c r="G108" s="6">
        <f t="shared" si="1"/>
        <v>28</v>
      </c>
      <c r="H108" s="9"/>
    </row>
    <row r="109" spans="2:8">
      <c r="B109" s="4">
        <v>107</v>
      </c>
      <c r="C109" s="5" t="str">
        <f>IFERROR(VLOOKUP(B109,[1]ENTRADAS!B:F,2,FALSE),"")</f>
        <v>LLAVE TERMICA</v>
      </c>
      <c r="D109" s="6" t="s">
        <v>7</v>
      </c>
      <c r="E109" s="6">
        <f>SUMIF([1]ENTRADAS!B:B,[1]INVENTARIO!B109,[1]ENTRADAS!E:E)</f>
        <v>3</v>
      </c>
      <c r="F109" s="6">
        <f>SUMIF([1]SALIDAS!B:B,[1]INVENTARIO!B109,[1]SALIDAS!E:E)</f>
        <v>0</v>
      </c>
      <c r="G109" s="6">
        <f t="shared" si="1"/>
        <v>3</v>
      </c>
      <c r="H109" s="9"/>
    </row>
    <row r="110" spans="2:8">
      <c r="B110" s="4">
        <v>108</v>
      </c>
      <c r="C110" s="5" t="str">
        <f>IFERROR(VLOOKUP(B110,[1]ENTRADAS!B:F,2,FALSE),"")</f>
        <v>PLANCHA DE ROPA</v>
      </c>
      <c r="D110" s="6" t="s">
        <v>7</v>
      </c>
      <c r="E110" s="6">
        <f>SUMIF([1]ENTRADAS!B:B,[1]INVENTARIO!B110,[1]ENTRADAS!E:E)</f>
        <v>3</v>
      </c>
      <c r="F110" s="6">
        <f>SUMIF([1]SALIDAS!B:B,[1]INVENTARIO!B110,[1]SALIDAS!E:E)</f>
        <v>0</v>
      </c>
      <c r="G110" s="6">
        <f t="shared" si="1"/>
        <v>3</v>
      </c>
      <c r="H110" s="9"/>
    </row>
    <row r="111" spans="2:8">
      <c r="B111" s="4">
        <v>109</v>
      </c>
      <c r="C111" s="5" t="str">
        <f>IFERROR(VLOOKUP(B111,[1]ENTRADAS!B:F,2,FALSE),"")</f>
        <v>MOTOR BONBA </v>
      </c>
      <c r="D111" s="6" t="s">
        <v>7</v>
      </c>
      <c r="E111" s="6">
        <f>SUMIF([1]ENTRADAS!B:B,[1]INVENTARIO!B111,[1]ENTRADAS!E:E)</f>
        <v>2</v>
      </c>
      <c r="F111" s="6">
        <f>SUMIF([1]SALIDAS!B:B,[1]INVENTARIO!B111,[1]SALIDAS!E:E)</f>
        <v>0</v>
      </c>
      <c r="G111" s="6">
        <f t="shared" si="1"/>
        <v>2</v>
      </c>
      <c r="H111" s="9"/>
    </row>
    <row r="112" spans="2:8">
      <c r="B112" s="4">
        <v>110</v>
      </c>
      <c r="C112" s="5" t="str">
        <f>IFERROR(VLOOKUP(B112,[1]ENTRADAS!B:F,2,FALSE),"")</f>
        <v>CUCHILLA DE LICUADORA PEQUEÑA</v>
      </c>
      <c r="D112" s="6" t="s">
        <v>7</v>
      </c>
      <c r="E112" s="6">
        <f>SUMIF([1]ENTRADAS!B:B,[1]INVENTARIO!B112,[1]ENTRADAS!E:E)</f>
        <v>2</v>
      </c>
      <c r="F112" s="6">
        <f>SUMIF([1]SALIDAS!B:B,[1]INVENTARIO!B112,[1]SALIDAS!E:E)</f>
        <v>0</v>
      </c>
      <c r="G112" s="6">
        <f t="shared" si="1"/>
        <v>2</v>
      </c>
      <c r="H112" s="9"/>
    </row>
    <row r="113" spans="2:8">
      <c r="B113" s="4">
        <v>111</v>
      </c>
      <c r="C113" s="5" t="str">
        <f>IFERROR(VLOOKUP(B113,[1]ENTRADAS!B:F,2,FALSE),"")</f>
        <v>PIEDRA DE ASENTAR (TRUPER)</v>
      </c>
      <c r="D113" s="6" t="s">
        <v>7</v>
      </c>
      <c r="E113" s="6">
        <f>SUMIF([1]ENTRADAS!B:B,[1]INVENTARIO!B113,[1]ENTRADAS!E:E)</f>
        <v>1</v>
      </c>
      <c r="F113" s="6">
        <f>SUMIF([1]SALIDAS!B:B,[1]INVENTARIO!B113,[1]SALIDAS!E:E)</f>
        <v>0</v>
      </c>
      <c r="G113" s="6">
        <f t="shared" si="1"/>
        <v>1</v>
      </c>
      <c r="H113" s="9"/>
    </row>
    <row r="114" spans="2:8">
      <c r="B114" s="4">
        <v>112</v>
      </c>
      <c r="C114" s="5" t="str">
        <f>IFERROR(VLOOKUP(B114,[1]ENTRADAS!B:F,2,FALSE),"")</f>
        <v>PREFILTRO AQUA NANO</v>
      </c>
      <c r="D114" s="6" t="s">
        <v>7</v>
      </c>
      <c r="E114" s="6">
        <f>SUMIF([1]ENTRADAS!B:B,[1]INVENTARIO!B114,[1]ENTRADAS!E:E)</f>
        <v>1</v>
      </c>
      <c r="F114" s="6">
        <f>SUMIF([1]SALIDAS!B:B,[1]INVENTARIO!B114,[1]SALIDAS!E:E)</f>
        <v>0</v>
      </c>
      <c r="G114" s="6">
        <f t="shared" si="1"/>
        <v>1</v>
      </c>
      <c r="H114" s="9"/>
    </row>
    <row r="115" spans="2:8">
      <c r="B115" s="4">
        <v>113</v>
      </c>
      <c r="C115" s="5" t="str">
        <f>IFERROR(VLOOKUP(B115,[1]ENTRADAS!B:F,2,FALSE),"")</f>
        <v>DISPENSADOR DE JABON </v>
      </c>
      <c r="D115" s="6" t="s">
        <v>7</v>
      </c>
      <c r="E115" s="6">
        <f>SUMIF([1]ENTRADAS!B:B,[1]INVENTARIO!B115,[1]ENTRADAS!E:E)</f>
        <v>1</v>
      </c>
      <c r="F115" s="6">
        <f>SUMIF([1]SALIDAS!B:B,[1]INVENTARIO!B115,[1]SALIDAS!E:E)</f>
        <v>0</v>
      </c>
      <c r="G115" s="6">
        <f t="shared" si="1"/>
        <v>1</v>
      </c>
      <c r="H115" s="9"/>
    </row>
    <row r="116" spans="2:8">
      <c r="B116" s="4">
        <v>114</v>
      </c>
      <c r="C116" s="5" t="str">
        <f>IFERROR(VLOOKUP(B116,[1]ENTRADAS!B:F,2,FALSE),"")</f>
        <v>GIRNALDAS</v>
      </c>
      <c r="D116" s="6" t="s">
        <v>7</v>
      </c>
      <c r="E116" s="6">
        <f>SUMIF([1]ENTRADAS!B:B,[1]INVENTARIO!B116,[1]ENTRADAS!E:E)</f>
        <v>1</v>
      </c>
      <c r="F116" s="6">
        <f>SUMIF([1]SALIDAS!B:B,[1]INVENTARIO!B116,[1]SALIDAS!E:E)</f>
        <v>0</v>
      </c>
      <c r="G116" s="6">
        <f t="shared" si="1"/>
        <v>1</v>
      </c>
      <c r="H116" s="9"/>
    </row>
    <row r="117" spans="2:8">
      <c r="B117" s="4">
        <v>115</v>
      </c>
      <c r="C117" s="5" t="str">
        <f>IFERROR(VLOOKUP(B117,[1]ENTRADAS!B:F,2,FALSE),"")</f>
        <v>MICROHONDAS SAMSUNG</v>
      </c>
      <c r="D117" s="6" t="s">
        <v>7</v>
      </c>
      <c r="E117" s="6">
        <f>SUMIF([1]ENTRADAS!B:B,[1]INVENTARIO!B117,[1]ENTRADAS!E:E)</f>
        <v>1</v>
      </c>
      <c r="F117" s="6">
        <f>SUMIF([1]SALIDAS!B:B,[1]INVENTARIO!B117,[1]SALIDAS!E:E)</f>
        <v>0</v>
      </c>
      <c r="G117" s="6">
        <f t="shared" si="1"/>
        <v>1</v>
      </c>
      <c r="H117" s="9"/>
    </row>
    <row r="118" spans="2:8">
      <c r="B118" s="4">
        <v>116</v>
      </c>
      <c r="C118" s="5" t="str">
        <f>IFERROR(VLOOKUP(B118,[1]ENTRADAS!B:F,2,FALSE),"")</f>
        <v>CAJA ELECTRICO DE ACERO</v>
      </c>
      <c r="D118" s="6" t="s">
        <v>7</v>
      </c>
      <c r="E118" s="6">
        <f>SUMIF([1]ENTRADAS!B:B,[1]INVENTARIO!B118,[1]ENTRADAS!E:E)</f>
        <v>1</v>
      </c>
      <c r="F118" s="6">
        <f>SUMIF([1]SALIDAS!B:B,[1]INVENTARIO!B118,[1]SALIDAS!E:E)</f>
        <v>0</v>
      </c>
      <c r="G118" s="6">
        <f t="shared" si="1"/>
        <v>1</v>
      </c>
      <c r="H118" s="9"/>
    </row>
    <row r="119" spans="2:8">
      <c r="B119" s="4">
        <v>117</v>
      </c>
      <c r="C119" s="5" t="str">
        <f>IFERROR(VLOOKUP(B119,[1]ENTRADAS!B:F,2,FALSE),"")</f>
        <v>MANGERA DE LAVADORA </v>
      </c>
      <c r="D119" s="6" t="s">
        <v>7</v>
      </c>
      <c r="E119" s="6">
        <f>SUMIF([1]ENTRADAS!B:B,[1]INVENTARIO!B119,[1]ENTRADAS!E:E)</f>
        <v>4</v>
      </c>
      <c r="F119" s="6">
        <f>SUMIF([1]SALIDAS!B:B,[1]INVENTARIO!B119,[1]SALIDAS!E:E)</f>
        <v>0</v>
      </c>
      <c r="G119" s="6">
        <f t="shared" si="1"/>
        <v>4</v>
      </c>
      <c r="H119" s="9"/>
    </row>
    <row r="120" spans="2:8">
      <c r="B120" s="4">
        <v>118</v>
      </c>
      <c r="C120" s="5" t="str">
        <f>IFERROR(VLOOKUP(B120,[1]ENTRADAS!B:F,2,FALSE),"")</f>
        <v>TAPA TANQUE DE AGUA</v>
      </c>
      <c r="D120" s="6" t="s">
        <v>7</v>
      </c>
      <c r="E120" s="6">
        <f>SUMIF([1]ENTRADAS!B:B,[1]INVENTARIO!B120,[1]ENTRADAS!E:E)</f>
        <v>3</v>
      </c>
      <c r="F120" s="6">
        <f>SUMIF([1]SALIDAS!B:B,[1]INVENTARIO!B120,[1]SALIDAS!E:E)</f>
        <v>0</v>
      </c>
      <c r="G120" s="6">
        <f t="shared" si="1"/>
        <v>3</v>
      </c>
      <c r="H120" s="9"/>
    </row>
    <row r="121" spans="2:8">
      <c r="B121" s="4">
        <v>119</v>
      </c>
      <c r="C121" s="5" t="str">
        <f>IFERROR(VLOOKUP(B121,[1]ENTRADAS!B:F,2,FALSE),"")</f>
        <v>BOTAS TALLA 40</v>
      </c>
      <c r="D121" s="6" t="s">
        <v>7</v>
      </c>
      <c r="E121" s="6">
        <f>SUMIF([1]ENTRADAS!B:B,[1]INVENTARIO!B121,[1]ENTRADAS!E:E)</f>
        <v>4</v>
      </c>
      <c r="F121" s="6">
        <f>SUMIF([1]SALIDAS!B:B,[1]INVENTARIO!B121,[1]SALIDAS!E:E)</f>
        <v>0</v>
      </c>
      <c r="G121" s="6">
        <f t="shared" si="1"/>
        <v>4</v>
      </c>
      <c r="H121" s="9"/>
    </row>
    <row r="122" spans="2:8">
      <c r="B122" s="4">
        <v>120</v>
      </c>
      <c r="C122" s="5" t="str">
        <f>IFERROR(VLOOKUP(B122,[1]ENTRADAS!B:F,2,FALSE),"")</f>
        <v>BOTAS TALLA 37</v>
      </c>
      <c r="D122" s="6" t="s">
        <v>7</v>
      </c>
      <c r="E122" s="6">
        <f>SUMIF([1]ENTRADAS!B:B,[1]INVENTARIO!B122,[1]ENTRADAS!E:E)</f>
        <v>1</v>
      </c>
      <c r="F122" s="6">
        <f>SUMIF([1]SALIDAS!B:B,[1]INVENTARIO!B122,[1]SALIDAS!E:E)</f>
        <v>0</v>
      </c>
      <c r="G122" s="6">
        <f t="shared" si="1"/>
        <v>1</v>
      </c>
      <c r="H122" s="9"/>
    </row>
    <row r="123" spans="2:8">
      <c r="B123" s="4">
        <v>121</v>
      </c>
      <c r="C123" s="5" t="str">
        <f>IFERROR(VLOOKUP(B123,[1]ENTRADAS!B:F,2,FALSE),"")</f>
        <v>BOTAS TALLA 35</v>
      </c>
      <c r="D123" s="6" t="s">
        <v>7</v>
      </c>
      <c r="E123" s="6">
        <f>SUMIF([1]ENTRADAS!B:B,[1]INVENTARIO!B123,[1]ENTRADAS!E:E)</f>
        <v>2</v>
      </c>
      <c r="F123" s="6">
        <f>SUMIF([1]SALIDAS!B:B,[1]INVENTARIO!B123,[1]SALIDAS!E:E)</f>
        <v>0</v>
      </c>
      <c r="G123" s="6">
        <f t="shared" si="1"/>
        <v>2</v>
      </c>
      <c r="H123" s="9"/>
    </row>
    <row r="124" spans="2:8">
      <c r="B124" s="4">
        <v>122</v>
      </c>
      <c r="C124" s="5" t="str">
        <f>IFERROR(VLOOKUP(B124,[1]ENTRADAS!B:F,2,FALSE),"")</f>
        <v>BANDEJA DESCARTABLE B5</v>
      </c>
      <c r="D124" s="6" t="s">
        <v>7</v>
      </c>
      <c r="E124" s="6">
        <f>SUMIF([1]ENTRADAS!B:B,[1]INVENTARIO!B124,[1]ENTRADAS!E:E)</f>
        <v>1</v>
      </c>
      <c r="F124" s="6">
        <f>SUMIF([1]SALIDAS!B:B,[1]INVENTARIO!B124,[1]SALIDAS!E:E)</f>
        <v>0</v>
      </c>
      <c r="G124" s="6">
        <f t="shared" si="1"/>
        <v>1</v>
      </c>
      <c r="H124" s="9"/>
    </row>
    <row r="125" spans="2:8">
      <c r="B125" s="4">
        <v>123</v>
      </c>
      <c r="C125" s="5" t="str">
        <f>IFERROR(VLOOKUP(B125,[1]ENTRADAS!B:F,2,FALSE),"")</f>
        <v>ARCHIVADOR </v>
      </c>
      <c r="D125" s="6" t="s">
        <v>7</v>
      </c>
      <c r="E125" s="6">
        <f>SUMIF([1]ENTRADAS!B:B,[1]INVENTARIO!B125,[1]ENTRADAS!E:E)</f>
        <v>259</v>
      </c>
      <c r="F125" s="6">
        <f>SUMIF([1]SALIDAS!B:B,[1]INVENTARIO!B125,[1]SALIDAS!E:E)</f>
        <v>0</v>
      </c>
      <c r="G125" s="6">
        <f t="shared" si="1"/>
        <v>259</v>
      </c>
      <c r="H125" s="9"/>
    </row>
    <row r="126" spans="2:8">
      <c r="B126" s="4">
        <v>124</v>
      </c>
      <c r="C126" s="5" t="str">
        <f>IFERROR(VLOOKUP(B126,[1]ENTRADAS!B:F,2,FALSE),"")</f>
        <v>HILO DE PESCAR</v>
      </c>
      <c r="D126" s="6" t="s">
        <v>7</v>
      </c>
      <c r="E126" s="6">
        <f>SUMIF([1]ENTRADAS!B:B,[1]INVENTARIO!B126,[1]ENTRADAS!E:E)</f>
        <v>2</v>
      </c>
      <c r="F126" s="6">
        <f>SUMIF([1]SALIDAS!B:B,[1]INVENTARIO!B126,[1]SALIDAS!E:E)</f>
        <v>0</v>
      </c>
      <c r="G126" s="6">
        <f t="shared" si="1"/>
        <v>2</v>
      </c>
      <c r="H126" s="9"/>
    </row>
    <row r="127" spans="2:8">
      <c r="B127" s="4">
        <v>125</v>
      </c>
      <c r="C127" s="5" t="str">
        <f>IFERROR(VLOOKUP(B127,[1]ENTRADAS!B:F,2,FALSE),"")</f>
        <v>CAMISETAS DE PARTIDOS </v>
      </c>
      <c r="D127" s="6" t="s">
        <v>7</v>
      </c>
      <c r="E127" s="6">
        <f>SUMIF([1]ENTRADAS!B:B,[1]INVENTARIO!B127,[1]ENTRADAS!E:E)</f>
        <v>2</v>
      </c>
      <c r="F127" s="6">
        <f>SUMIF([1]SALIDAS!B:B,[1]INVENTARIO!B127,[1]SALIDAS!E:E)</f>
        <v>0</v>
      </c>
      <c r="G127" s="6">
        <f t="shared" si="1"/>
        <v>2</v>
      </c>
      <c r="H127" s="9"/>
    </row>
    <row r="128" spans="2:8">
      <c r="B128" s="4">
        <v>126</v>
      </c>
      <c r="C128" s="5" t="str">
        <f>IFERROR(VLOOKUP(B128,[1]ENTRADAS!B:F,2,FALSE),"")</f>
        <v>CUTUTUS DE NAVIDAD </v>
      </c>
      <c r="D128" s="6" t="s">
        <v>7</v>
      </c>
      <c r="E128" s="6">
        <f>SUMIF([1]ENTRADAS!B:B,[1]INVENTARIO!B128,[1]ENTRADAS!E:E)</f>
        <v>7</v>
      </c>
      <c r="F128" s="6">
        <f>SUMIF([1]SALIDAS!B:B,[1]INVENTARIO!B128,[1]SALIDAS!E:E)</f>
        <v>0</v>
      </c>
      <c r="G128" s="6">
        <f t="shared" si="1"/>
        <v>7</v>
      </c>
      <c r="H128" s="9"/>
    </row>
    <row r="129" spans="2:8">
      <c r="B129" s="4">
        <v>127</v>
      </c>
      <c r="C129" s="5" t="str">
        <f>IFERROR(VLOOKUP(B129,[1]ENTRADAS!B:F,2,FALSE),"")</f>
        <v>FUNDA PARA SILLAS</v>
      </c>
      <c r="D129" s="6" t="s">
        <v>7</v>
      </c>
      <c r="E129" s="6">
        <f>SUMIF([1]ENTRADAS!B:B,[1]INVENTARIO!B129,[1]ENTRADAS!E:E)</f>
        <v>20</v>
      </c>
      <c r="F129" s="6">
        <f>SUMIF([1]SALIDAS!B:B,[1]INVENTARIO!B129,[1]SALIDAS!E:E)</f>
        <v>0</v>
      </c>
      <c r="G129" s="6">
        <f t="shared" si="1"/>
        <v>20</v>
      </c>
      <c r="H129" s="9"/>
    </row>
    <row r="130" spans="2:8">
      <c r="B130" s="4">
        <v>128</v>
      </c>
      <c r="C130" s="5" t="str">
        <f>IFERROR(VLOOKUP(B130,[1]ENTRADAS!B:F,2,FALSE),"")</f>
        <v>TERNO CONJUNTO</v>
      </c>
      <c r="D130" s="6" t="s">
        <v>7</v>
      </c>
      <c r="E130" s="6">
        <f>SUMIF([1]ENTRADAS!B:B,[1]INVENTARIO!B130,[1]ENTRADAS!E:E)</f>
        <v>5</v>
      </c>
      <c r="F130" s="6">
        <f>SUMIF([1]SALIDAS!B:B,[1]INVENTARIO!B130,[1]SALIDAS!E:E)</f>
        <v>0</v>
      </c>
      <c r="G130" s="6">
        <f t="shared" si="1"/>
        <v>5</v>
      </c>
      <c r="H130" s="9"/>
    </row>
    <row r="131" spans="2:8">
      <c r="B131" s="4">
        <v>129</v>
      </c>
      <c r="C131" s="5" t="str">
        <f>IFERROR(VLOOKUP(B131,[1]ENTRADAS!B:F,2,FALSE),"")</f>
        <v>CANASTA CON ASA</v>
      </c>
      <c r="D131" s="6" t="s">
        <v>7</v>
      </c>
      <c r="E131" s="6">
        <f>SUMIF([1]ENTRADAS!B:B,[1]INVENTARIO!B131,[1]ENTRADAS!E:E)</f>
        <v>4</v>
      </c>
      <c r="F131" s="6">
        <f>SUMIF([1]SALIDAS!B:B,[1]INVENTARIO!B131,[1]SALIDAS!E:E)</f>
        <v>0</v>
      </c>
      <c r="G131" s="6">
        <f t="shared" ref="G131:G194" si="2">E131-F131</f>
        <v>4</v>
      </c>
      <c r="H131" s="9"/>
    </row>
    <row r="132" spans="2:8">
      <c r="B132" s="4">
        <v>130</v>
      </c>
      <c r="C132" s="5" t="str">
        <f>IFERROR(VLOOKUP(B132,[1]ENTRADAS!B:F,2,FALSE),"")</f>
        <v>MICROFONO</v>
      </c>
      <c r="D132" s="6" t="s">
        <v>7</v>
      </c>
      <c r="E132" s="6">
        <f>SUMIF([1]ENTRADAS!B:B,[1]INVENTARIO!B132,[1]ENTRADAS!E:E)</f>
        <v>4</v>
      </c>
      <c r="F132" s="6">
        <f>SUMIF([1]SALIDAS!B:B,[1]INVENTARIO!B132,[1]SALIDAS!E:E)</f>
        <v>0</v>
      </c>
      <c r="G132" s="6">
        <f t="shared" si="2"/>
        <v>4</v>
      </c>
      <c r="H132" s="9"/>
    </row>
    <row r="133" spans="2:8">
      <c r="B133" s="4">
        <v>131</v>
      </c>
      <c r="C133" s="5" t="str">
        <f>IFERROR(VLOOKUP(B133,[1]ENTRADAS!B:F,2,FALSE),"")</f>
        <v>EMPAQUE DE DELIBERY</v>
      </c>
      <c r="D133" s="6" t="s">
        <v>7</v>
      </c>
      <c r="E133" s="6">
        <f>SUMIF([1]ENTRADAS!B:B,[1]INVENTARIO!B133,[1]ENTRADAS!E:E)</f>
        <v>1</v>
      </c>
      <c r="F133" s="6">
        <f>SUMIF([1]SALIDAS!B:B,[1]INVENTARIO!B133,[1]SALIDAS!E:E)</f>
        <v>0</v>
      </c>
      <c r="G133" s="6">
        <f t="shared" si="2"/>
        <v>1</v>
      </c>
      <c r="H133" s="9"/>
    </row>
    <row r="134" spans="2:8">
      <c r="B134" s="4">
        <v>132</v>
      </c>
      <c r="C134" s="5" t="str">
        <f>IFERROR(VLOOKUP(B134,[1]ENTRADAS!B:F,2,FALSE),"")</f>
        <v>DISFRAS DE LLAMA</v>
      </c>
      <c r="D134" s="6" t="s">
        <v>7</v>
      </c>
      <c r="E134" s="6">
        <f>SUMIF([1]ENTRADAS!B:B,[1]INVENTARIO!B134,[1]ENTRADAS!E:E)</f>
        <v>230</v>
      </c>
      <c r="F134" s="6">
        <f>SUMIF([1]SALIDAS!B:B,[1]INVENTARIO!B134,[1]SALIDAS!E:E)</f>
        <v>0</v>
      </c>
      <c r="G134" s="6">
        <f t="shared" si="2"/>
        <v>230</v>
      </c>
      <c r="H134" s="9"/>
    </row>
    <row r="135" spans="2:8">
      <c r="B135" s="4">
        <v>133</v>
      </c>
      <c r="C135" s="5" t="str">
        <f>IFERROR(VLOOKUP(B135,[1]ENTRADAS!B:F,2,FALSE),"")</f>
        <v>TERMO DISPENSADOR</v>
      </c>
      <c r="D135" s="6" t="s">
        <v>7</v>
      </c>
      <c r="E135" s="6">
        <f>SUMIF([1]ENTRADAS!B:B,[1]INVENTARIO!B135,[1]ENTRADAS!E:E)</f>
        <v>1</v>
      </c>
      <c r="F135" s="6">
        <f>SUMIF([1]SALIDAS!B:B,[1]INVENTARIO!B135,[1]SALIDAS!E:E)</f>
        <v>0</v>
      </c>
      <c r="G135" s="6">
        <f t="shared" si="2"/>
        <v>1</v>
      </c>
      <c r="H135" s="9"/>
    </row>
    <row r="136" spans="2:8">
      <c r="B136" s="4">
        <v>134</v>
      </c>
      <c r="C136" s="5" t="str">
        <f>IFERROR(VLOOKUP(B136,[1]ENTRADAS!B:F,2,FALSE),"")</f>
        <v>HERVIDORA DE 8L</v>
      </c>
      <c r="D136" s="6" t="s">
        <v>7</v>
      </c>
      <c r="E136" s="6">
        <f>SUMIF([1]ENTRADAS!B:B,[1]INVENTARIO!B136,[1]ENTRADAS!E:E)</f>
        <v>1</v>
      </c>
      <c r="F136" s="6">
        <f>SUMIF([1]SALIDAS!B:B,[1]INVENTARIO!B136,[1]SALIDAS!E:E)</f>
        <v>0</v>
      </c>
      <c r="G136" s="6">
        <f t="shared" si="2"/>
        <v>1</v>
      </c>
      <c r="H136" s="9"/>
    </row>
    <row r="137" spans="2:8">
      <c r="B137" s="4">
        <v>135</v>
      </c>
      <c r="C137" s="5" t="str">
        <f>IFERROR(VLOOKUP(B137,[1]ENTRADAS!B:F,2,FALSE),"")</f>
        <v>MOLDE DE TORTA</v>
      </c>
      <c r="D137" s="6" t="s">
        <v>7</v>
      </c>
      <c r="E137" s="6">
        <f>SUMIF([1]ENTRADAS!B:B,[1]INVENTARIO!B137,[1]ENTRADAS!E:E)</f>
        <v>2</v>
      </c>
      <c r="F137" s="6">
        <f>SUMIF([1]SALIDAS!B:B,[1]INVENTARIO!B137,[1]SALIDAS!E:E)</f>
        <v>0</v>
      </c>
      <c r="G137" s="6">
        <f t="shared" si="2"/>
        <v>2</v>
      </c>
      <c r="H137" s="9"/>
    </row>
    <row r="138" spans="2:8">
      <c r="B138" s="4">
        <v>136</v>
      </c>
      <c r="C138" s="5" t="str">
        <f>IFERROR(VLOOKUP(B138,[1]ENTRADAS!B:F,2,FALSE),"")</f>
        <v>MOLDE DE KEKE CUADROS</v>
      </c>
      <c r="D138" s="6" t="s">
        <v>7</v>
      </c>
      <c r="E138" s="6">
        <f>SUMIF([1]ENTRADAS!B:B,[1]INVENTARIO!B138,[1]ENTRADAS!E:E)</f>
        <v>10</v>
      </c>
      <c r="F138" s="6">
        <f>SUMIF([1]SALIDAS!B:B,[1]INVENTARIO!B138,[1]SALIDAS!E:E)</f>
        <v>0</v>
      </c>
      <c r="G138" s="6">
        <f t="shared" si="2"/>
        <v>10</v>
      </c>
      <c r="H138" s="9"/>
    </row>
    <row r="139" spans="2:8">
      <c r="B139" s="4">
        <v>137</v>
      </c>
      <c r="C139" s="5" t="str">
        <f>IFERROR(VLOOKUP(B139,[1]ENTRADAS!B:F,2,FALSE),"")</f>
        <v>MOLDES DE GOMA</v>
      </c>
      <c r="D139" s="6" t="s">
        <v>7</v>
      </c>
      <c r="E139" s="6">
        <f>SUMIF([1]ENTRADAS!B:B,[1]INVENTARIO!B139,[1]ENTRADAS!E:E)</f>
        <v>2</v>
      </c>
      <c r="F139" s="6">
        <f>SUMIF([1]SALIDAS!B:B,[1]INVENTARIO!B139,[1]SALIDAS!E:E)</f>
        <v>0</v>
      </c>
      <c r="G139" s="6">
        <f t="shared" si="2"/>
        <v>2</v>
      </c>
      <c r="H139" s="9"/>
    </row>
    <row r="140" spans="2:8">
      <c r="B140" s="4">
        <v>138</v>
      </c>
      <c r="C140" s="5" t="str">
        <f>IFERROR(VLOOKUP(B140,[1]ENTRADAS!B:F,2,FALSE),"")</f>
        <v>CAFETERA DE PORCELANA</v>
      </c>
      <c r="D140" s="6" t="s">
        <v>7</v>
      </c>
      <c r="E140" s="6">
        <f>SUMIF([1]ENTRADAS!B:B,[1]INVENTARIO!B140,[1]ENTRADAS!E:E)</f>
        <v>2</v>
      </c>
      <c r="F140" s="6">
        <f>SUMIF([1]SALIDAS!B:B,[1]INVENTARIO!B140,[1]SALIDAS!E:E)</f>
        <v>0</v>
      </c>
      <c r="G140" s="6">
        <f t="shared" si="2"/>
        <v>2</v>
      </c>
      <c r="H140" s="9"/>
    </row>
    <row r="141" spans="2:8">
      <c r="B141" s="4">
        <v>139</v>
      </c>
      <c r="C141" s="5" t="str">
        <f>IFERROR(VLOOKUP(B141,[1]ENTRADAS!B:F,2,FALSE),"")</f>
        <v>PIRIX DE VIDRIO CHIQUITO</v>
      </c>
      <c r="D141" s="6" t="s">
        <v>7</v>
      </c>
      <c r="E141" s="6">
        <f>SUMIF([1]ENTRADAS!B:B,[1]INVENTARIO!B141,[1]ENTRADAS!E:E)</f>
        <v>1</v>
      </c>
      <c r="F141" s="6">
        <f>SUMIF([1]SALIDAS!B:B,[1]INVENTARIO!B141,[1]SALIDAS!E:E)</f>
        <v>0</v>
      </c>
      <c r="G141" s="6">
        <f t="shared" si="2"/>
        <v>1</v>
      </c>
      <c r="H141" s="9"/>
    </row>
    <row r="142" spans="2:8">
      <c r="B142" s="4">
        <v>140</v>
      </c>
      <c r="C142" s="5" t="str">
        <f>IFERROR(VLOOKUP(B142,[1]ENTRADAS!B:F,2,FALSE),"")</f>
        <v>BATIDORA</v>
      </c>
      <c r="D142" s="6" t="s">
        <v>7</v>
      </c>
      <c r="E142" s="6">
        <f>SUMIF([1]ENTRADAS!B:B,[1]INVENTARIO!B142,[1]ENTRADAS!E:E)</f>
        <v>6</v>
      </c>
      <c r="F142" s="6">
        <f>SUMIF([1]SALIDAS!B:B,[1]INVENTARIO!B142,[1]SALIDAS!E:E)</f>
        <v>0</v>
      </c>
      <c r="G142" s="6">
        <f t="shared" si="2"/>
        <v>6</v>
      </c>
      <c r="H142" s="9"/>
    </row>
    <row r="143" spans="2:8">
      <c r="B143" s="4">
        <v>141</v>
      </c>
      <c r="C143" s="5" t="str">
        <f>IFERROR(VLOOKUP(B143,[1]ENTRADAS!B:F,2,FALSE),"")</f>
        <v>TOSTADORA</v>
      </c>
      <c r="D143" s="6" t="s">
        <v>7</v>
      </c>
      <c r="E143" s="6">
        <f>SUMIF([1]ENTRADAS!B:B,[1]INVENTARIO!B143,[1]ENTRADAS!E:E)</f>
        <v>1</v>
      </c>
      <c r="F143" s="6">
        <f>SUMIF([1]SALIDAS!B:B,[1]INVENTARIO!B143,[1]SALIDAS!E:E)</f>
        <v>0</v>
      </c>
      <c r="G143" s="6">
        <f t="shared" si="2"/>
        <v>1</v>
      </c>
      <c r="H143" s="9"/>
    </row>
    <row r="144" spans="2:8">
      <c r="B144" s="4">
        <v>142</v>
      </c>
      <c r="C144" s="5" t="str">
        <f>IFERROR(VLOOKUP(B144,[1]ENTRADAS!B:F,2,FALSE),"")</f>
        <v>FUENTE METAL PEQUEÑO</v>
      </c>
      <c r="D144" s="6" t="s">
        <v>7</v>
      </c>
      <c r="E144" s="6">
        <f>SUMIF([1]ENTRADAS!B:B,[1]INVENTARIO!B144,[1]ENTRADAS!E:E)</f>
        <v>1</v>
      </c>
      <c r="F144" s="6">
        <f>SUMIF([1]SALIDAS!B:B,[1]INVENTARIO!B144,[1]SALIDAS!E:E)</f>
        <v>0</v>
      </c>
      <c r="G144" s="6">
        <f t="shared" si="2"/>
        <v>1</v>
      </c>
      <c r="H144" s="9"/>
    </row>
    <row r="145" spans="2:8">
      <c r="B145" s="4">
        <v>143</v>
      </c>
      <c r="C145" s="5" t="str">
        <f>IFERROR(VLOOKUP(B145,[1]ENTRADAS!B:F,2,FALSE),"")</f>
        <v>PLANCHA SARTEN DOBLE</v>
      </c>
      <c r="D145" s="6" t="s">
        <v>7</v>
      </c>
      <c r="E145" s="6">
        <f>SUMIF([1]ENTRADAS!B:B,[1]INVENTARIO!B145,[1]ENTRADAS!E:E)</f>
        <v>10</v>
      </c>
      <c r="F145" s="6">
        <f>SUMIF([1]SALIDAS!B:B,[1]INVENTARIO!B145,[1]SALIDAS!E:E)</f>
        <v>0</v>
      </c>
      <c r="G145" s="6">
        <f t="shared" si="2"/>
        <v>10</v>
      </c>
      <c r="H145" s="9"/>
    </row>
    <row r="146" spans="2:8">
      <c r="B146" s="4">
        <v>144</v>
      </c>
      <c r="C146" s="5" t="str">
        <f>IFERROR(VLOOKUP(B146,[1]ENTRADAS!B:F,2,FALSE),"")</f>
        <v>TERMOACERO</v>
      </c>
      <c r="D146" s="6" t="s">
        <v>7</v>
      </c>
      <c r="E146" s="6">
        <f>SUMIF([1]ENTRADAS!B:B,[1]INVENTARIO!B146,[1]ENTRADAS!E:E)</f>
        <v>1</v>
      </c>
      <c r="F146" s="6">
        <f>SUMIF([1]SALIDAS!B:B,[1]INVENTARIO!B146,[1]SALIDAS!E:E)</f>
        <v>0</v>
      </c>
      <c r="G146" s="6">
        <f t="shared" si="2"/>
        <v>1</v>
      </c>
      <c r="H146" s="9"/>
    </row>
    <row r="147" spans="2:8">
      <c r="B147" s="4">
        <v>145</v>
      </c>
      <c r="C147" s="5" t="str">
        <f>IFERROR(VLOOKUP(B147,[1]ENTRADAS!B:F,2,FALSE),"")</f>
        <v>JARRA DE ACERO</v>
      </c>
      <c r="D147" s="6" t="s">
        <v>7</v>
      </c>
      <c r="E147" s="6">
        <f>SUMIF([1]ENTRADAS!B:B,[1]INVENTARIO!B147,[1]ENTRADAS!E:E)</f>
        <v>1</v>
      </c>
      <c r="F147" s="6">
        <f>SUMIF([1]SALIDAS!B:B,[1]INVENTARIO!B147,[1]SALIDAS!E:E)</f>
        <v>0</v>
      </c>
      <c r="G147" s="6">
        <f t="shared" si="2"/>
        <v>1</v>
      </c>
      <c r="H147" s="9"/>
    </row>
    <row r="148" spans="2:8">
      <c r="B148" s="4">
        <v>146</v>
      </c>
      <c r="C148" s="5" t="str">
        <f>IFERROR(VLOOKUP(B148,[1]ENTRADAS!B:F,2,FALSE),"")</f>
        <v>SAMOBAR</v>
      </c>
      <c r="D148" s="6" t="s">
        <v>7</v>
      </c>
      <c r="E148" s="6">
        <f>SUMIF([1]ENTRADAS!B:B,[1]INVENTARIO!B148,[1]ENTRADAS!E:E)</f>
        <v>1</v>
      </c>
      <c r="F148" s="6">
        <f>SUMIF([1]SALIDAS!B:B,[1]INVENTARIO!B148,[1]SALIDAS!E:E)</f>
        <v>0</v>
      </c>
      <c r="G148" s="6">
        <f t="shared" si="2"/>
        <v>1</v>
      </c>
      <c r="H148" s="9"/>
    </row>
    <row r="149" spans="2:8">
      <c r="B149" s="4">
        <v>147</v>
      </c>
      <c r="C149" s="5" t="str">
        <f>IFERROR(VLOOKUP(B149,[1]ENTRADAS!B:F,2,FALSE),"")</f>
        <v>PLATO C5 DESCARTABLE</v>
      </c>
      <c r="D149" s="6" t="s">
        <v>7</v>
      </c>
      <c r="E149" s="6">
        <f>SUMIF([1]ENTRADAS!B:B,[1]INVENTARIO!B149,[1]ENTRADAS!E:E)</f>
        <v>6</v>
      </c>
      <c r="F149" s="6">
        <f>SUMIF([1]SALIDAS!B:B,[1]INVENTARIO!B149,[1]SALIDAS!E:E)</f>
        <v>0</v>
      </c>
      <c r="G149" s="6">
        <f t="shared" si="2"/>
        <v>6</v>
      </c>
      <c r="H149" s="9"/>
    </row>
    <row r="150" spans="2:8">
      <c r="B150" s="4">
        <v>148</v>
      </c>
      <c r="C150" s="5" t="str">
        <f>IFERROR(VLOOKUP(B150,[1]ENTRADAS!B:F,2,FALSE),"")</f>
        <v>CAJAS DE CERVEZA</v>
      </c>
      <c r="D150" s="6" t="s">
        <v>7</v>
      </c>
      <c r="E150" s="6">
        <f>SUMIF([1]ENTRADAS!B:B,[1]INVENTARIO!B150,[1]ENTRADAS!E:E)</f>
        <v>350</v>
      </c>
      <c r="F150" s="6">
        <f>SUMIF([1]SALIDAS!B:B,[1]INVENTARIO!B150,[1]SALIDAS!E:E)</f>
        <v>50</v>
      </c>
      <c r="G150" s="6">
        <f t="shared" si="2"/>
        <v>300</v>
      </c>
      <c r="H150" s="9"/>
    </row>
    <row r="151" spans="2:8">
      <c r="B151" s="4">
        <v>149</v>
      </c>
      <c r="C151" s="5" t="str">
        <f>IFERROR(VLOOKUP(B151,[1]ENTRADAS!B:F,2,FALSE),"")</f>
        <v>TV</v>
      </c>
      <c r="D151" s="6" t="s">
        <v>7</v>
      </c>
      <c r="E151" s="6">
        <f>SUMIF([1]ENTRADAS!B:B,[1]INVENTARIO!B151,[1]ENTRADAS!E:E)</f>
        <v>19</v>
      </c>
      <c r="F151" s="6">
        <f>SUMIF([1]SALIDAS!B:B,[1]INVENTARIO!B151,[1]SALIDAS!E:E)</f>
        <v>0</v>
      </c>
      <c r="G151" s="6">
        <f t="shared" si="2"/>
        <v>19</v>
      </c>
      <c r="H151" s="9"/>
    </row>
    <row r="152" spans="2:8">
      <c r="B152" s="4">
        <v>150</v>
      </c>
      <c r="C152" s="5" t="str">
        <f>IFERROR(VLOOKUP(B152,[1]ENTRADAS!B:F,2,FALSE),"")</f>
        <v>PARLANTE JBL</v>
      </c>
      <c r="D152" s="6" t="s">
        <v>7</v>
      </c>
      <c r="E152" s="6">
        <f>SUMIF([1]ENTRADAS!B:B,[1]INVENTARIO!B152,[1]ENTRADAS!E:E)</f>
        <v>4</v>
      </c>
      <c r="F152" s="6">
        <f>SUMIF([1]SALIDAS!B:B,[1]INVENTARIO!B152,[1]SALIDAS!E:E)</f>
        <v>0</v>
      </c>
      <c r="G152" s="6">
        <f t="shared" si="2"/>
        <v>4</v>
      </c>
      <c r="H152" s="9"/>
    </row>
    <row r="153" spans="2:8">
      <c r="B153" s="4">
        <v>151</v>
      </c>
      <c r="C153" s="5" t="str">
        <f>IFERROR(VLOOKUP(B153,[1]ENTRADAS!B:F,2,FALSE),"")</f>
        <v>OLLAS DE ARCILLA</v>
      </c>
      <c r="D153" s="6" t="s">
        <v>7</v>
      </c>
      <c r="E153" s="6">
        <f>SUMIF([1]ENTRADAS!B:B,[1]INVENTARIO!B153,[1]ENTRADAS!E:E)</f>
        <v>1</v>
      </c>
      <c r="F153" s="6">
        <f>SUMIF([1]SALIDAS!B:B,[1]INVENTARIO!B153,[1]SALIDAS!E:E)</f>
        <v>0</v>
      </c>
      <c r="G153" s="6">
        <f t="shared" si="2"/>
        <v>1</v>
      </c>
      <c r="H153" s="9"/>
    </row>
    <row r="154" spans="2:8">
      <c r="B154" s="4">
        <v>152</v>
      </c>
      <c r="C154" s="5" t="str">
        <f>IFERROR(VLOOKUP(B154,[1]ENTRADAS!B:F,2,FALSE),"")</f>
        <v>PLATOS DE ARCILLA</v>
      </c>
      <c r="D154" s="6" t="s">
        <v>7</v>
      </c>
      <c r="E154" s="6">
        <f>SUMIF([1]ENTRADAS!B:B,[1]INVENTARIO!B154,[1]ENTRADAS!E:E)</f>
        <v>10</v>
      </c>
      <c r="F154" s="6">
        <f>SUMIF([1]SALIDAS!B:B,[1]INVENTARIO!B154,[1]SALIDAS!E:E)</f>
        <v>0</v>
      </c>
      <c r="G154" s="6">
        <f t="shared" si="2"/>
        <v>10</v>
      </c>
      <c r="H154" s="9"/>
    </row>
    <row r="155" spans="2:8">
      <c r="B155" s="4">
        <v>153</v>
      </c>
      <c r="C155" s="5" t="str">
        <f>IFERROR(VLOOKUP(B155,[1]ENTRADAS!B:F,2,FALSE),"")</f>
        <v>ENBUDO DE CULTURA</v>
      </c>
      <c r="D155" s="6" t="s">
        <v>7</v>
      </c>
      <c r="E155" s="6">
        <f>SUMIF([1]ENTRADAS!B:B,[1]INVENTARIO!B155,[1]ENTRADAS!E:E)</f>
        <v>6</v>
      </c>
      <c r="F155" s="6">
        <f>SUMIF([1]SALIDAS!B:B,[1]INVENTARIO!B155,[1]SALIDAS!E:E)</f>
        <v>0</v>
      </c>
      <c r="G155" s="6">
        <f t="shared" si="2"/>
        <v>6</v>
      </c>
      <c r="H155" s="9"/>
    </row>
    <row r="156" spans="2:8">
      <c r="B156" s="4">
        <v>154</v>
      </c>
      <c r="C156" s="5" t="str">
        <f>IFERROR(VLOOKUP(B156,[1]ENTRADAS!B:F,2,FALSE),"")</f>
        <v>PLATO DE PIEDRA</v>
      </c>
      <c r="D156" s="6" t="s">
        <v>7</v>
      </c>
      <c r="E156" s="6">
        <f>SUMIF([1]ENTRADAS!B:B,[1]INVENTARIO!B156,[1]ENTRADAS!E:E)</f>
        <v>1</v>
      </c>
      <c r="F156" s="6">
        <f>SUMIF([1]SALIDAS!B:B,[1]INVENTARIO!B156,[1]SALIDAS!E:E)</f>
        <v>0</v>
      </c>
      <c r="G156" s="6">
        <f t="shared" si="2"/>
        <v>1</v>
      </c>
      <c r="H156" s="9"/>
    </row>
    <row r="157" spans="2:8">
      <c r="B157" s="4">
        <v>155</v>
      </c>
      <c r="C157" s="5" t="str">
        <f>IFERROR(VLOOKUP(B157,[1]ENTRADAS!B:F,2,FALSE),"")</f>
        <v>BOLSA DE SELLADO 20X22CM</v>
      </c>
      <c r="D157" s="6" t="s">
        <v>8</v>
      </c>
      <c r="E157" s="6">
        <f>SUMIF([1]ENTRADAS!B:B,[1]INVENTARIO!B157,[1]ENTRADAS!E:E)</f>
        <v>1</v>
      </c>
      <c r="F157" s="6">
        <f>SUMIF([1]SALIDAS!B:B,[1]INVENTARIO!B157,[1]SALIDAS!E:E)</f>
        <v>0</v>
      </c>
      <c r="G157" s="6">
        <f t="shared" si="2"/>
        <v>1</v>
      </c>
      <c r="H157" s="9"/>
    </row>
    <row r="158" spans="2:8">
      <c r="B158" s="4">
        <v>156</v>
      </c>
      <c r="C158" s="5" t="str">
        <f>IFERROR(VLOOKUP(B158,[1]ENTRADAS!B:F,2,FALSE),"")</f>
        <v>BOLSA DE SELLADO 15X25CM</v>
      </c>
      <c r="D158" s="6" t="s">
        <v>8</v>
      </c>
      <c r="E158" s="6">
        <f>SUMIF([1]ENTRADAS!B:B,[1]INVENTARIO!B158,[1]ENTRADAS!E:E)</f>
        <v>44</v>
      </c>
      <c r="F158" s="6">
        <f>SUMIF([1]SALIDAS!B:B,[1]INVENTARIO!B158,[1]SALIDAS!E:E)</f>
        <v>1</v>
      </c>
      <c r="G158" s="6">
        <f t="shared" si="2"/>
        <v>43</v>
      </c>
      <c r="H158" s="9"/>
    </row>
    <row r="159" spans="2:8">
      <c r="B159" s="4">
        <v>157</v>
      </c>
      <c r="C159" s="5" t="str">
        <f>IFERROR(VLOOKUP(B159,[1]ENTRADAS!B:F,2,FALSE),"")</f>
        <v>BOLSA DE SELLADO 15X20CM</v>
      </c>
      <c r="D159" s="6" t="s">
        <v>8</v>
      </c>
      <c r="E159" s="6">
        <f>SUMIF([1]ENTRADAS!B:B,[1]INVENTARIO!B159,[1]ENTRADAS!E:E)</f>
        <v>9</v>
      </c>
      <c r="F159" s="6">
        <f>SUMIF([1]SALIDAS!B:B,[1]INVENTARIO!B159,[1]SALIDAS!E:E)</f>
        <v>0</v>
      </c>
      <c r="G159" s="6">
        <f t="shared" si="2"/>
        <v>9</v>
      </c>
      <c r="H159" s="9"/>
    </row>
    <row r="160" spans="2:8">
      <c r="B160" s="4">
        <v>158</v>
      </c>
      <c r="C160" s="5" t="str">
        <f>IFERROR(VLOOKUP(B160,[1]ENTRADAS!B:F,2,FALSE),"")</f>
        <v>BOLSA DE SELLADO 20X33CM</v>
      </c>
      <c r="D160" s="6" t="s">
        <v>8</v>
      </c>
      <c r="E160" s="6">
        <f>SUMIF([1]ENTRADAS!B:B,[1]INVENTARIO!B160,[1]ENTRADAS!E:E)</f>
        <v>7</v>
      </c>
      <c r="F160" s="6">
        <f>SUMIF([1]SALIDAS!B:B,[1]INVENTARIO!B160,[1]SALIDAS!E:E)</f>
        <v>0</v>
      </c>
      <c r="G160" s="6">
        <f t="shared" si="2"/>
        <v>7</v>
      </c>
      <c r="H160" s="9"/>
    </row>
    <row r="161" spans="2:8">
      <c r="B161" s="4">
        <v>159</v>
      </c>
      <c r="C161" s="5" t="str">
        <f>IFERROR(VLOOKUP(B161,[1]ENTRADAS!B:F,2,FALSE),"")</f>
        <v>BOLSA DE SELLADO 24X38CM</v>
      </c>
      <c r="D161" s="6" t="s">
        <v>8</v>
      </c>
      <c r="E161" s="6">
        <f>SUMIF([1]ENTRADAS!B:B,[1]INVENTARIO!B161,[1]ENTRADAS!E:E)</f>
        <v>8</v>
      </c>
      <c r="F161" s="6">
        <f>SUMIF([1]SALIDAS!B:B,[1]INVENTARIO!B161,[1]SALIDAS!E:E)</f>
        <v>0</v>
      </c>
      <c r="G161" s="6">
        <f t="shared" si="2"/>
        <v>8</v>
      </c>
      <c r="H161" s="9"/>
    </row>
    <row r="162" spans="2:8">
      <c r="B162" s="4">
        <v>160</v>
      </c>
      <c r="C162" s="5" t="str">
        <f>IFERROR(VLOOKUP(B162,[1]ENTRADAS!B:F,2,FALSE),"")</f>
        <v>BOTELLA DELIVERY</v>
      </c>
      <c r="D162" s="6" t="s">
        <v>7</v>
      </c>
      <c r="E162" s="6">
        <f>SUMIF([1]ENTRADAS!B:B,[1]INVENTARIO!B162,[1]ENTRADAS!E:E)</f>
        <v>7</v>
      </c>
      <c r="F162" s="6">
        <f>SUMIF([1]SALIDAS!B:B,[1]INVENTARIO!B162,[1]SALIDAS!E:E)</f>
        <v>0</v>
      </c>
      <c r="G162" s="6">
        <f t="shared" si="2"/>
        <v>7</v>
      </c>
      <c r="H162" s="9"/>
    </row>
    <row r="163" spans="2:8">
      <c r="B163" s="4">
        <v>161</v>
      </c>
      <c r="C163" s="5" t="str">
        <f>IFERROR(VLOOKUP(B163,[1]ENTRADAS!B:F,2,FALSE),"")</f>
        <v>BOTELLA DE 350ML</v>
      </c>
      <c r="D163" s="6" t="s">
        <v>7</v>
      </c>
      <c r="E163" s="6">
        <f>SUMIF([1]ENTRADAS!B:B,[1]INVENTARIO!B163,[1]ENTRADAS!E:E)</f>
        <v>475</v>
      </c>
      <c r="F163" s="6">
        <f>SUMIF([1]SALIDAS!B:B,[1]INVENTARIO!B163,[1]SALIDAS!E:E)</f>
        <v>50</v>
      </c>
      <c r="G163" s="6">
        <f t="shared" si="2"/>
        <v>425</v>
      </c>
      <c r="H163" s="9"/>
    </row>
    <row r="164" spans="2:8">
      <c r="B164" s="4">
        <v>162</v>
      </c>
      <c r="C164" s="5" t="str">
        <f>IFERROR(VLOOKUP(B164,[1]ENTRADAS!B:F,2,FALSE),"")</f>
        <v>BOTELLA TAXISTA</v>
      </c>
      <c r="D164" s="6" t="s">
        <v>7</v>
      </c>
      <c r="E164" s="6">
        <f>SUMIF([1]ENTRADAS!B:B,[1]INVENTARIO!B164,[1]ENTRADAS!E:E)</f>
        <v>1000</v>
      </c>
      <c r="F164" s="6">
        <f>SUMIF([1]SALIDAS!B:B,[1]INVENTARIO!B164,[1]SALIDAS!E:E)</f>
        <v>100</v>
      </c>
      <c r="G164" s="6">
        <f t="shared" si="2"/>
        <v>900</v>
      </c>
      <c r="H164" s="9"/>
    </row>
    <row r="165" spans="2:8">
      <c r="B165" s="4">
        <v>163</v>
      </c>
      <c r="C165" s="5" t="str">
        <f>IFERROR(VLOOKUP(B165,[1]ENTRADAS!B:F,2,FALSE),"")</f>
        <v>POPOTE PANACOTA PLANA</v>
      </c>
      <c r="D165" s="6" t="s">
        <v>8</v>
      </c>
      <c r="E165" s="6">
        <f>SUMIF([1]ENTRADAS!B:B,[1]INVENTARIO!B165,[1]ENTRADAS!E:E)</f>
        <v>400</v>
      </c>
      <c r="F165" s="6">
        <f>SUMIF([1]SALIDAS!B:B,[1]INVENTARIO!B165,[1]SALIDAS!E:E)</f>
        <v>0</v>
      </c>
      <c r="G165" s="6">
        <f t="shared" si="2"/>
        <v>400</v>
      </c>
      <c r="H165" s="9"/>
    </row>
    <row r="166" spans="2:8">
      <c r="B166" s="4">
        <v>164</v>
      </c>
      <c r="C166" s="5" t="str">
        <f>IFERROR(VLOOKUP(B166,[1]ENTRADAS!B:F,2,FALSE),"")</f>
        <v>POPOTE PANACOTA DOMO</v>
      </c>
      <c r="D166" s="6" t="s">
        <v>8</v>
      </c>
      <c r="E166" s="6">
        <f>SUMIF([1]ENTRADAS!B:B,[1]INVENTARIO!B166,[1]ENTRADAS!E:E)</f>
        <v>32</v>
      </c>
      <c r="F166" s="6">
        <f>SUMIF([1]SALIDAS!B:B,[1]INVENTARIO!B166,[1]SALIDAS!E:E)</f>
        <v>2</v>
      </c>
      <c r="G166" s="6">
        <f t="shared" si="2"/>
        <v>30</v>
      </c>
      <c r="H166" s="9"/>
    </row>
    <row r="167" spans="2:8">
      <c r="B167" s="4">
        <v>165</v>
      </c>
      <c r="C167" s="5" t="str">
        <f>IFERROR(VLOOKUP(B167,[1]ENTRADAS!B:F,2,FALSE),"")</f>
        <v>TAPER DE MAZAMORRA</v>
      </c>
      <c r="D167" s="6" t="s">
        <v>7</v>
      </c>
      <c r="E167" s="6">
        <f>SUMIF([1]ENTRADAS!B:B,[1]INVENTARIO!B167,[1]ENTRADAS!E:E)</f>
        <v>36</v>
      </c>
      <c r="F167" s="6">
        <f>SUMIF([1]SALIDAS!B:B,[1]INVENTARIO!B167,[1]SALIDAS!E:E)</f>
        <v>0</v>
      </c>
      <c r="G167" s="6">
        <f t="shared" si="2"/>
        <v>36</v>
      </c>
      <c r="H167" s="9"/>
    </row>
    <row r="168" spans="2:8">
      <c r="B168" s="4">
        <v>166</v>
      </c>
      <c r="C168" s="5" t="str">
        <f>IFERROR(VLOOKUP(B168,[1]ENTRADAS!B:F,2,FALSE),"")</f>
        <v>POPOTE GRUESO</v>
      </c>
      <c r="D168" s="6" t="s">
        <v>8</v>
      </c>
      <c r="E168" s="6">
        <f>SUMIF([1]ENTRADAS!B:B,[1]INVENTARIO!B168,[1]ENTRADAS!E:E)</f>
        <v>37</v>
      </c>
      <c r="F168" s="6">
        <f>SUMIF([1]SALIDAS!B:B,[1]INVENTARIO!B168,[1]SALIDAS!E:E)</f>
        <v>2</v>
      </c>
      <c r="G168" s="6">
        <f t="shared" si="2"/>
        <v>35</v>
      </c>
      <c r="H168" s="9"/>
    </row>
    <row r="169" spans="2:8">
      <c r="B169" s="4">
        <v>167</v>
      </c>
      <c r="C169" s="5" t="str">
        <f>IFERROR(VLOOKUP(B169,[1]ENTRADAS!B:F,2,FALSE),"")</f>
        <v>CUCHARAS DE POSTRE</v>
      </c>
      <c r="D169" s="6" t="s">
        <v>8</v>
      </c>
      <c r="E169" s="6">
        <f>SUMIF([1]ENTRADAS!B:B,[1]INVENTARIO!B169,[1]ENTRADAS!E:E)</f>
        <v>11</v>
      </c>
      <c r="F169" s="6">
        <f>SUMIF([1]SALIDAS!B:B,[1]INVENTARIO!B169,[1]SALIDAS!E:E)</f>
        <v>0</v>
      </c>
      <c r="G169" s="6">
        <f t="shared" si="2"/>
        <v>11</v>
      </c>
      <c r="H169" s="9"/>
    </row>
    <row r="170" spans="2:8">
      <c r="B170" s="4">
        <v>168</v>
      </c>
      <c r="C170" s="5" t="str">
        <f>IFERROR(VLOOKUP(B170,[1]ENTRADAS!B:F,2,FALSE),"")</f>
        <v>DESCARTABLE CUCHARILLAS DE PLASTICO</v>
      </c>
      <c r="D170" s="6" t="s">
        <v>8</v>
      </c>
      <c r="E170" s="6">
        <f>SUMIF([1]ENTRADAS!B:B,[1]INVENTARIO!B170,[1]ENTRADAS!E:E)</f>
        <v>11</v>
      </c>
      <c r="F170" s="6">
        <f>SUMIF([1]SALIDAS!B:B,[1]INVENTARIO!B170,[1]SALIDAS!E:E)</f>
        <v>0</v>
      </c>
      <c r="G170" s="6">
        <f t="shared" si="2"/>
        <v>11</v>
      </c>
      <c r="H170" s="9"/>
    </row>
    <row r="171" spans="2:8">
      <c r="B171" s="4">
        <v>169</v>
      </c>
      <c r="C171" s="5" t="str">
        <f>IFERROR(VLOOKUP(B171,[1]ENTRADAS!B:F,2,FALSE),"")</f>
        <v>DESCARTABLE VASO DE CAFÉ 6ONZ</v>
      </c>
      <c r="D171" s="6" t="s">
        <v>8</v>
      </c>
      <c r="E171" s="6">
        <f>SUMIF([1]ENTRADAS!B:B,[1]INVENTARIO!B171,[1]ENTRADAS!E:E)</f>
        <v>21</v>
      </c>
      <c r="F171" s="6">
        <f>SUMIF([1]SALIDAS!B:B,[1]INVENTARIO!B171,[1]SALIDAS!E:E)</f>
        <v>0</v>
      </c>
      <c r="G171" s="6">
        <f t="shared" si="2"/>
        <v>21</v>
      </c>
      <c r="H171" s="9"/>
    </row>
    <row r="172" spans="2:8">
      <c r="B172" s="4">
        <v>170</v>
      </c>
      <c r="C172" s="5" t="str">
        <f>IFERROR(VLOOKUP(B172,[1]ENTRADAS!B:F,2,FALSE),"")</f>
        <v>VASO ACRILICO 5ONZ</v>
      </c>
      <c r="D172" s="6" t="s">
        <v>8</v>
      </c>
      <c r="E172" s="6">
        <f>SUMIF([1]ENTRADAS!B:B,[1]INVENTARIO!B172,[1]ENTRADAS!E:E)</f>
        <v>87</v>
      </c>
      <c r="F172" s="6">
        <f>SUMIF([1]SALIDAS!B:B,[1]INVENTARIO!B172,[1]SALIDAS!E:E)</f>
        <v>0</v>
      </c>
      <c r="G172" s="6">
        <f t="shared" si="2"/>
        <v>87</v>
      </c>
      <c r="H172" s="9"/>
    </row>
    <row r="173" spans="2:8">
      <c r="B173" s="4">
        <v>171</v>
      </c>
      <c r="C173" s="5" t="str">
        <f>IFERROR(VLOOKUP(B173,[1]ENTRADAS!B:F,2,FALSE),"")</f>
        <v>VASO ACRILICO 12ONZ</v>
      </c>
      <c r="D173" s="6" t="s">
        <v>8</v>
      </c>
      <c r="E173" s="6">
        <f>SUMIF([1]ENTRADAS!B:B,[1]INVENTARIO!B173,[1]ENTRADAS!E:E)</f>
        <v>19</v>
      </c>
      <c r="F173" s="6">
        <f>SUMIF([1]SALIDAS!B:B,[1]INVENTARIO!B173,[1]SALIDAS!E:E)</f>
        <v>0</v>
      </c>
      <c r="G173" s="6">
        <f t="shared" si="2"/>
        <v>19</v>
      </c>
      <c r="H173" s="9"/>
    </row>
    <row r="174" spans="2:8">
      <c r="B174" s="4">
        <v>172</v>
      </c>
      <c r="C174" s="5" t="str">
        <f>IFERROR(VLOOKUP(B174,[1]ENTRADAS!B:F,2,FALSE),"")</f>
        <v>BOLSA DE CUBIERTO</v>
      </c>
      <c r="D174" s="6" t="s">
        <v>8</v>
      </c>
      <c r="E174" s="6">
        <f>SUMIF([1]ENTRADAS!B:B,[1]INVENTARIO!B174,[1]ENTRADAS!E:E)</f>
        <v>35</v>
      </c>
      <c r="F174" s="6">
        <f>SUMIF([1]SALIDAS!B:B,[1]INVENTARIO!B174,[1]SALIDAS!E:E)</f>
        <v>0</v>
      </c>
      <c r="G174" s="6">
        <f t="shared" si="2"/>
        <v>35</v>
      </c>
      <c r="H174" s="9"/>
    </row>
    <row r="175" spans="2:8">
      <c r="B175" s="4">
        <v>173</v>
      </c>
      <c r="C175" s="5" t="str">
        <f>IFERROR(VLOOKUP(B175,[1]ENTRADAS!B:F,2,FALSE),"")</f>
        <v>TAPER DE 8ONZ</v>
      </c>
      <c r="D175" s="6" t="s">
        <v>8</v>
      </c>
      <c r="E175" s="6">
        <f>SUMIF([1]ENTRADAS!B:B,[1]INVENTARIO!B175,[1]ENTRADAS!E:E)</f>
        <v>96</v>
      </c>
      <c r="F175" s="6">
        <f>SUMIF([1]SALIDAS!B:B,[1]INVENTARIO!B175,[1]SALIDAS!E:E)</f>
        <v>0</v>
      </c>
      <c r="G175" s="6">
        <f t="shared" si="2"/>
        <v>96</v>
      </c>
      <c r="H175" s="9"/>
    </row>
    <row r="176" spans="2:8">
      <c r="B176" s="4">
        <v>174</v>
      </c>
      <c r="C176" s="5" t="str">
        <f>IFERROR(VLOOKUP(B176,[1]ENTRADAS!B:F,2,FALSE),"")</f>
        <v>VASO ACRILICO DE 10ONZ</v>
      </c>
      <c r="D176" s="6" t="s">
        <v>8</v>
      </c>
      <c r="E176" s="6">
        <f>SUMIF([1]ENTRADAS!B:B,[1]INVENTARIO!B176,[1]ENTRADAS!E:E)</f>
        <v>40</v>
      </c>
      <c r="F176" s="6">
        <f>SUMIF([1]SALIDAS!B:B,[1]INVENTARIO!B176,[1]SALIDAS!E:E)</f>
        <v>0</v>
      </c>
      <c r="G176" s="6">
        <f t="shared" si="2"/>
        <v>40</v>
      </c>
      <c r="H176" s="9"/>
    </row>
    <row r="177" spans="2:8">
      <c r="B177" s="4">
        <v>175</v>
      </c>
      <c r="C177" s="5" t="str">
        <f>IFERROR(VLOOKUP(B177,[1]ENTRADAS!B:F,2,FALSE),"")</f>
        <v>VASO ACRILICO 7ONZ</v>
      </c>
      <c r="D177" s="6" t="s">
        <v>8</v>
      </c>
      <c r="E177" s="6">
        <f>SUMIF([1]ENTRADAS!B:B,[1]INVENTARIO!B177,[1]ENTRADAS!E:E)</f>
        <v>10</v>
      </c>
      <c r="F177" s="6">
        <f>SUMIF([1]SALIDAS!B:B,[1]INVENTARIO!B177,[1]SALIDAS!E:E)</f>
        <v>0</v>
      </c>
      <c r="G177" s="6">
        <f t="shared" si="2"/>
        <v>10</v>
      </c>
      <c r="H177" s="9"/>
    </row>
    <row r="178" spans="2:8">
      <c r="B178" s="4">
        <v>176</v>
      </c>
      <c r="C178" s="5" t="str">
        <f>IFERROR(VLOOKUP(B178,[1]ENTRADAS!B:F,2,FALSE),"")</f>
        <v>VASO ACRILICO 3ONZ</v>
      </c>
      <c r="D178" s="6" t="s">
        <v>8</v>
      </c>
      <c r="E178" s="6">
        <f>SUMIF([1]ENTRADAS!B:B,[1]INVENTARIO!B178,[1]ENTRADAS!E:E)</f>
        <v>8</v>
      </c>
      <c r="F178" s="6">
        <f>SUMIF([1]SALIDAS!B:B,[1]INVENTARIO!B178,[1]SALIDAS!E:E)</f>
        <v>0</v>
      </c>
      <c r="G178" s="6">
        <f t="shared" si="2"/>
        <v>8</v>
      </c>
      <c r="H178" s="9"/>
    </row>
    <row r="179" spans="2:8">
      <c r="B179" s="4">
        <v>177</v>
      </c>
      <c r="C179" s="5" t="str">
        <f>IFERROR(VLOOKUP(B179,[1]ENTRADAS!B:F,2,FALSE),"")</f>
        <v>TAPER DE 4ONZ</v>
      </c>
      <c r="D179" s="6" t="s">
        <v>8</v>
      </c>
      <c r="E179" s="6">
        <f>SUMIF([1]ENTRADAS!B:B,[1]INVENTARIO!B179,[1]ENTRADAS!E:E)</f>
        <v>8</v>
      </c>
      <c r="F179" s="6">
        <f>SUMIF([1]SALIDAS!B:B,[1]INVENTARIO!B179,[1]SALIDAS!E:E)</f>
        <v>0</v>
      </c>
      <c r="G179" s="6">
        <f t="shared" si="2"/>
        <v>8</v>
      </c>
      <c r="H179" s="9"/>
    </row>
    <row r="180" spans="2:8">
      <c r="B180" s="4">
        <v>178</v>
      </c>
      <c r="C180" s="5" t="str">
        <f>IFERROR(VLOOKUP(B180,[1]ENTRADAS!B:F,2,FALSE),"")</f>
        <v>CAMPANA EXIBIDORA</v>
      </c>
      <c r="D180" s="6" t="s">
        <v>7</v>
      </c>
      <c r="E180" s="6">
        <f>SUMIF([1]ENTRADAS!B:B,[1]INVENTARIO!B180,[1]ENTRADAS!E:E)</f>
        <v>12</v>
      </c>
      <c r="F180" s="6">
        <f>SUMIF([1]SALIDAS!B:B,[1]INVENTARIO!B180,[1]SALIDAS!E:E)</f>
        <v>0</v>
      </c>
      <c r="G180" s="6">
        <f t="shared" si="2"/>
        <v>12</v>
      </c>
      <c r="H180" s="9"/>
    </row>
    <row r="181" spans="2:8">
      <c r="B181" s="4">
        <v>179</v>
      </c>
      <c r="C181" s="5" t="str">
        <f>IFERROR(VLOOKUP(B181,[1]ENTRADAS!B:F,2,FALSE),"")</f>
        <v>LICUADORA MOTOR</v>
      </c>
      <c r="D181" s="6" t="s">
        <v>7</v>
      </c>
      <c r="E181" s="6">
        <f>SUMIF([1]ENTRADAS!B:B,[1]INVENTARIO!B181,[1]ENTRADAS!E:E)</f>
        <v>1</v>
      </c>
      <c r="F181" s="6">
        <f>SUMIF([1]SALIDAS!B:B,[1]INVENTARIO!B181,[1]SALIDAS!E:E)</f>
        <v>0</v>
      </c>
      <c r="G181" s="6">
        <f t="shared" si="2"/>
        <v>1</v>
      </c>
      <c r="H181" s="9"/>
    </row>
    <row r="182" spans="2:8">
      <c r="B182" s="4">
        <v>180</v>
      </c>
      <c r="C182" s="5" t="str">
        <f>IFERROR(VLOOKUP(B182,[1]ENTRADAS!B:F,2,FALSE),"")</f>
        <v>CORTINA</v>
      </c>
      <c r="D182" s="6" t="s">
        <v>7</v>
      </c>
      <c r="E182" s="6">
        <f>SUMIF([1]ENTRADAS!B:B,[1]INVENTARIO!B182,[1]ENTRADAS!E:E)</f>
        <v>10</v>
      </c>
      <c r="F182" s="6">
        <f>SUMIF([1]SALIDAS!B:B,[1]INVENTARIO!B182,[1]SALIDAS!E:E)</f>
        <v>0</v>
      </c>
      <c r="G182" s="6">
        <f t="shared" si="2"/>
        <v>10</v>
      </c>
      <c r="H182" s="9"/>
    </row>
    <row r="183" spans="2:8">
      <c r="B183" s="4">
        <v>181</v>
      </c>
      <c r="C183" s="5" t="str">
        <f>IFERROR(VLOOKUP(B183,[1]ENTRADAS!B:F,2,FALSE),"")</f>
        <v>SALCERA LISA DE 73 CM3</v>
      </c>
      <c r="D183" s="6" t="s">
        <v>7</v>
      </c>
      <c r="E183" s="6">
        <f>SUMIF([1]ENTRADAS!B:B,[1]INVENTARIO!B183,[1]ENTRADAS!E:E)</f>
        <v>2</v>
      </c>
      <c r="F183" s="6">
        <f>SUMIF([1]SALIDAS!B:B,[1]INVENTARIO!B183,[1]SALIDAS!E:E)</f>
        <v>0</v>
      </c>
      <c r="G183" s="6">
        <f t="shared" si="2"/>
        <v>2</v>
      </c>
      <c r="H183" s="9"/>
    </row>
    <row r="184" spans="2:8">
      <c r="B184" s="4">
        <v>182</v>
      </c>
      <c r="C184" s="5" t="str">
        <f>IFERROR(VLOOKUP(B184,[1]ENTRADAS!B:F,2,FALSE),"")</f>
        <v>CREMERA INDIVID 86CM3</v>
      </c>
      <c r="D184" s="6" t="s">
        <v>7</v>
      </c>
      <c r="E184" s="6">
        <f>SUMIF([1]ENTRADAS!B:B,[1]INVENTARIO!B184,[1]ENTRADAS!E:E)</f>
        <v>66</v>
      </c>
      <c r="F184" s="6">
        <f>SUMIF([1]SALIDAS!B:B,[1]INVENTARIO!B184,[1]SALIDAS!E:E)</f>
        <v>0</v>
      </c>
      <c r="G184" s="6">
        <f t="shared" si="2"/>
        <v>66</v>
      </c>
      <c r="H184" s="9"/>
    </row>
    <row r="185" spans="2:8">
      <c r="B185" s="4">
        <v>183</v>
      </c>
      <c r="C185" s="5" t="str">
        <f>IFERROR(VLOOKUP(B185,[1]ENTRADAS!B:F,2,FALSE),"")</f>
        <v>PLATO BANDEJA 40.5X17CM</v>
      </c>
      <c r="D185" s="6" t="s">
        <v>7</v>
      </c>
      <c r="E185" s="6">
        <f>SUMIF([1]ENTRADAS!B:B,[1]INVENTARIO!B185,[1]ENTRADAS!E:E)</f>
        <v>12</v>
      </c>
      <c r="F185" s="6">
        <f>SUMIF([1]SALIDAS!B:B,[1]INVENTARIO!B185,[1]SALIDAS!E:E)</f>
        <v>0</v>
      </c>
      <c r="G185" s="6">
        <f t="shared" si="2"/>
        <v>12</v>
      </c>
      <c r="H185" s="9"/>
    </row>
    <row r="186" spans="2:8">
      <c r="B186" s="4">
        <v>184</v>
      </c>
      <c r="C186" s="5" t="str">
        <f>IFERROR(VLOOKUP(B186,[1]ENTRADAS!B:F,2,FALSE),"")</f>
        <v>PLATO TAZA 303CM3</v>
      </c>
      <c r="D186" s="6" t="s">
        <v>7</v>
      </c>
      <c r="E186" s="6">
        <f>SUMIF([1]ENTRADAS!B:B,[1]INVENTARIO!B186,[1]ENTRADAS!E:E)</f>
        <v>11</v>
      </c>
      <c r="F186" s="6">
        <f>SUMIF([1]SALIDAS!B:B,[1]INVENTARIO!B186,[1]SALIDAS!E:E)</f>
        <v>0</v>
      </c>
      <c r="G186" s="6">
        <f t="shared" si="2"/>
        <v>11</v>
      </c>
      <c r="H186" s="9"/>
    </row>
    <row r="187" spans="2:8">
      <c r="B187" s="4">
        <v>185</v>
      </c>
      <c r="C187" s="5" t="str">
        <f>IFERROR(VLOOKUP(B187,[1]ENTRADAS!B:F,2,FALSE),"")</f>
        <v>PLATO PANDOCOUPE</v>
      </c>
      <c r="D187" s="6" t="s">
        <v>7</v>
      </c>
      <c r="E187" s="6">
        <f>SUMIF([1]ENTRADAS!B:B,[1]INVENTARIO!B187,[1]ENTRADAS!E:E)</f>
        <v>23</v>
      </c>
      <c r="F187" s="6">
        <f>SUMIF([1]SALIDAS!B:B,[1]INVENTARIO!B187,[1]SALIDAS!E:E)</f>
        <v>0</v>
      </c>
      <c r="G187" s="6">
        <f t="shared" si="2"/>
        <v>23</v>
      </c>
      <c r="H187" s="9"/>
    </row>
    <row r="188" spans="2:8">
      <c r="B188" s="4">
        <v>186</v>
      </c>
      <c r="C188" s="5" t="str">
        <f>IFERROR(VLOOKUP(B188,[1]ENTRADAS!B:F,2,FALSE),"")</f>
        <v>PLATO BOWL1005.5CM3</v>
      </c>
      <c r="D188" s="6" t="s">
        <v>7</v>
      </c>
      <c r="E188" s="6">
        <f>SUMIF([1]ENTRADAS!B:B,[1]INVENTARIO!B188,[1]ENTRADAS!E:E)</f>
        <v>20</v>
      </c>
      <c r="F188" s="6">
        <f>SUMIF([1]SALIDAS!B:B,[1]INVENTARIO!B188,[1]SALIDAS!E:E)</f>
        <v>0</v>
      </c>
      <c r="G188" s="6">
        <f t="shared" si="2"/>
        <v>20</v>
      </c>
      <c r="H188" s="9"/>
    </row>
    <row r="189" spans="2:8">
      <c r="B189" s="4">
        <v>187</v>
      </c>
      <c r="C189" s="5" t="str">
        <f>IFERROR(VLOOKUP(B189,[1]ENTRADAS!B:F,2,FALSE),"")</f>
        <v>PLATO HONDO INSTITUCIONAL 533.9CM3</v>
      </c>
      <c r="D189" s="6" t="s">
        <v>7</v>
      </c>
      <c r="E189" s="6">
        <f>SUMIF([1]ENTRADAS!B:B,[1]INVENTARIO!B189,[1]ENTRADAS!E:E)</f>
        <v>22</v>
      </c>
      <c r="F189" s="6">
        <f>SUMIF([1]SALIDAS!B:B,[1]INVENTARIO!B189,[1]SALIDAS!E:E)</f>
        <v>0</v>
      </c>
      <c r="G189" s="6">
        <f t="shared" si="2"/>
        <v>22</v>
      </c>
      <c r="H189" s="9"/>
    </row>
    <row r="190" spans="2:8">
      <c r="B190" s="4">
        <v>188</v>
      </c>
      <c r="C190" s="5" t="str">
        <f>IFERROR(VLOOKUP(B190,[1]ENTRADAS!B:F,2,FALSE),"")</f>
        <v>PLATO BANDEJA GRATINAR 23.7X12CM</v>
      </c>
      <c r="D190" s="6" t="s">
        <v>7</v>
      </c>
      <c r="E190" s="6">
        <f>SUMIF([1]ENTRADAS!B:B,[1]INVENTARIO!B190,[1]ENTRADAS!E:E)</f>
        <v>23</v>
      </c>
      <c r="F190" s="6">
        <f>SUMIF([1]SALIDAS!B:B,[1]INVENTARIO!B190,[1]SALIDAS!E:E)</f>
        <v>0</v>
      </c>
      <c r="G190" s="6">
        <f t="shared" si="2"/>
        <v>23</v>
      </c>
      <c r="H190" s="9"/>
    </row>
    <row r="191" spans="2:8">
      <c r="B191" s="4">
        <v>189</v>
      </c>
      <c r="C191" s="5" t="str">
        <f>IFERROR(VLOOKUP(B191,[1]ENTRADAS!B:F,2,FALSE),"")</f>
        <v>PEROLES USADOS</v>
      </c>
      <c r="D191" s="6" t="s">
        <v>7</v>
      </c>
      <c r="E191" s="6">
        <f>SUMIF([1]ENTRADAS!B:B,[1]INVENTARIO!B191,[1]ENTRADAS!E:E)</f>
        <v>16</v>
      </c>
      <c r="F191" s="6">
        <f>SUMIF([1]SALIDAS!B:B,[1]INVENTARIO!B191,[1]SALIDAS!E:E)</f>
        <v>0</v>
      </c>
      <c r="G191" s="6">
        <f t="shared" si="2"/>
        <v>16</v>
      </c>
      <c r="H191" s="9"/>
    </row>
    <row r="192" spans="2:8">
      <c r="B192" s="4">
        <v>190</v>
      </c>
      <c r="C192" s="5" t="str">
        <f>IFERROR(VLOOKUP(B192,[1]ENTRADAS!B:F,2,FALSE),"")</f>
        <v>FUENTE PARA HORNEAR</v>
      </c>
      <c r="D192" s="6" t="s">
        <v>7</v>
      </c>
      <c r="E192" s="6">
        <f>SUMIF([1]ENTRADAS!B:B,[1]INVENTARIO!B192,[1]ENTRADAS!E:E)</f>
        <v>2</v>
      </c>
      <c r="F192" s="6">
        <f>SUMIF([1]SALIDAS!B:B,[1]INVENTARIO!B192,[1]SALIDAS!E:E)</f>
        <v>0</v>
      </c>
      <c r="G192" s="6">
        <f t="shared" si="2"/>
        <v>2</v>
      </c>
      <c r="H192" s="9"/>
    </row>
    <row r="193" spans="2:8">
      <c r="B193" s="4">
        <v>191</v>
      </c>
      <c r="C193" s="5" t="str">
        <f>IFERROR(VLOOKUP(B193,[1]ENTRADAS!B:F,2,FALSE),"")</f>
        <v>MANGERA DE RIEGO</v>
      </c>
      <c r="D193" s="6" t="s">
        <v>10</v>
      </c>
      <c r="E193" s="6">
        <f>SUMIF([1]ENTRADAS!B:B,[1]INVENTARIO!B193,[1]ENTRADAS!E:E)</f>
        <v>1</v>
      </c>
      <c r="F193" s="6">
        <f>SUMIF([1]SALIDAS!B:B,[1]INVENTARIO!B193,[1]SALIDAS!E:E)</f>
        <v>0</v>
      </c>
      <c r="G193" s="6">
        <f t="shared" si="2"/>
        <v>1</v>
      </c>
      <c r="H193" s="9"/>
    </row>
    <row r="194" spans="2:8">
      <c r="B194" s="4">
        <v>192</v>
      </c>
      <c r="C194" s="5" t="str">
        <f>IFERROR(VLOOKUP(B194,[1]ENTRADAS!B:F,2,FALSE),"")</f>
        <v>RASTRILLO</v>
      </c>
      <c r="D194" s="6" t="s">
        <v>7</v>
      </c>
      <c r="E194" s="6">
        <f>SUMIF([1]ENTRADAS!B:B,[1]INVENTARIO!B194,[1]ENTRADAS!E:E)</f>
        <v>3</v>
      </c>
      <c r="F194" s="6">
        <f>SUMIF([1]SALIDAS!B:B,[1]INVENTARIO!B194,[1]SALIDAS!E:E)</f>
        <v>0</v>
      </c>
      <c r="G194" s="6">
        <f t="shared" si="2"/>
        <v>3</v>
      </c>
      <c r="H194" s="9"/>
    </row>
    <row r="195" spans="2:8">
      <c r="B195" s="4">
        <v>193</v>
      </c>
      <c r="C195" s="5" t="str">
        <f>IFERROR(VLOOKUP(B195,[1]ENTRADAS!B:F,2,FALSE),"")</f>
        <v>FRAUGUA</v>
      </c>
      <c r="D195" s="6" t="s">
        <v>7</v>
      </c>
      <c r="E195" s="6">
        <f>SUMIF([1]ENTRADAS!B:B,[1]INVENTARIO!B195,[1]ENTRADAS!E:E)</f>
        <v>2</v>
      </c>
      <c r="F195" s="6">
        <f>SUMIF([1]SALIDAS!B:B,[1]INVENTARIO!B195,[1]SALIDAS!E:E)</f>
        <v>0</v>
      </c>
      <c r="G195" s="6">
        <f t="shared" ref="G195:G258" si="3">E195-F195</f>
        <v>2</v>
      </c>
      <c r="H195" s="9"/>
    </row>
    <row r="196" spans="2:8">
      <c r="B196" s="4">
        <v>194</v>
      </c>
      <c r="C196" s="5" t="str">
        <f>IFERROR(VLOOKUP(B196,[1]ENTRADAS!B:F,2,FALSE),"")</f>
        <v>SERRUCHO DE MADERA</v>
      </c>
      <c r="D196" s="6" t="s">
        <v>7</v>
      </c>
      <c r="E196" s="6">
        <f>SUMIF([1]ENTRADAS!B:B,[1]INVENTARIO!B196,[1]ENTRADAS!E:E)</f>
        <v>3</v>
      </c>
      <c r="F196" s="6">
        <f>SUMIF([1]SALIDAS!B:B,[1]INVENTARIO!B196,[1]SALIDAS!E:E)</f>
        <v>0</v>
      </c>
      <c r="G196" s="6">
        <f t="shared" si="3"/>
        <v>3</v>
      </c>
      <c r="H196" s="9"/>
    </row>
    <row r="197" spans="2:8">
      <c r="B197" s="4">
        <v>195</v>
      </c>
      <c r="C197" s="5" t="str">
        <f>IFERROR(VLOOKUP(B197,[1]ENTRADAS!B:F,2,FALSE),"")</f>
        <v>SIERRA METALICA</v>
      </c>
      <c r="D197" s="6" t="s">
        <v>7</v>
      </c>
      <c r="E197" s="6">
        <f>SUMIF([1]ENTRADAS!B:B,[1]INVENTARIO!B197,[1]ENTRADAS!E:E)</f>
        <v>2</v>
      </c>
      <c r="F197" s="6">
        <f>SUMIF([1]SALIDAS!B:B,[1]INVENTARIO!B197,[1]SALIDAS!E:E)</f>
        <v>0</v>
      </c>
      <c r="G197" s="6">
        <f t="shared" si="3"/>
        <v>2</v>
      </c>
      <c r="H197" s="9"/>
    </row>
    <row r="198" spans="2:8">
      <c r="B198" s="4">
        <v>196</v>
      </c>
      <c r="C198" s="5" t="str">
        <f>IFERROR(VLOOKUP(B198,[1]ENTRADAS!B:F,2,FALSE),"")</f>
        <v>TEMPLE FINO SINOLIT</v>
      </c>
      <c r="D198" s="6" t="s">
        <v>7</v>
      </c>
      <c r="E198" s="6">
        <f>SUMIF([1]ENTRADAS!B:B,[1]INVENTARIO!B198,[1]ENTRADAS!E:E)</f>
        <v>1</v>
      </c>
      <c r="F198" s="6">
        <f>SUMIF([1]SALIDAS!B:B,[1]INVENTARIO!B198,[1]SALIDAS!E:E)</f>
        <v>0</v>
      </c>
      <c r="G198" s="6">
        <f t="shared" si="3"/>
        <v>1</v>
      </c>
      <c r="H198" s="9"/>
    </row>
    <row r="199" spans="2:8">
      <c r="B199" s="4">
        <v>197</v>
      </c>
      <c r="C199" s="5" t="str">
        <f>IFERROR(VLOOKUP(B199,[1]ENTRADAS!B:F,2,FALSE),"")</f>
        <v>TUBOS DE CHIMENEA</v>
      </c>
      <c r="D199" s="6" t="s">
        <v>7</v>
      </c>
      <c r="E199" s="6">
        <f>SUMIF([1]ENTRADAS!B:B,[1]INVENTARIO!B199,[1]ENTRADAS!E:E)</f>
        <v>2</v>
      </c>
      <c r="F199" s="6">
        <f>SUMIF([1]SALIDAS!B:B,[1]INVENTARIO!B199,[1]SALIDAS!E:E)</f>
        <v>0</v>
      </c>
      <c r="G199" s="6">
        <f t="shared" si="3"/>
        <v>2</v>
      </c>
      <c r="H199" s="9"/>
    </row>
    <row r="200" spans="2:8">
      <c r="B200" s="4">
        <v>198</v>
      </c>
      <c r="C200" s="5" t="str">
        <f>IFERROR(VLOOKUP(B200,[1]ENTRADAS!B:F,2,FALSE),"")</f>
        <v>BARRETA</v>
      </c>
      <c r="D200" s="6" t="s">
        <v>7</v>
      </c>
      <c r="E200" s="6">
        <f>SUMIF([1]ENTRADAS!B:B,[1]INVENTARIO!B200,[1]ENTRADAS!E:E)</f>
        <v>2</v>
      </c>
      <c r="F200" s="6">
        <f>SUMIF([1]SALIDAS!B:B,[1]INVENTARIO!B200,[1]SALIDAS!E:E)</f>
        <v>0</v>
      </c>
      <c r="G200" s="6">
        <f t="shared" si="3"/>
        <v>2</v>
      </c>
      <c r="H200" s="9"/>
    </row>
    <row r="201" spans="2:8">
      <c r="B201" s="4">
        <v>199</v>
      </c>
      <c r="C201" s="5" t="str">
        <f>IFERROR(VLOOKUP(B201,[1]ENTRADAS!B:F,2,FALSE),"")</f>
        <v>PICO</v>
      </c>
      <c r="D201" s="6" t="s">
        <v>7</v>
      </c>
      <c r="E201" s="6">
        <f>SUMIF([1]ENTRADAS!B:B,[1]INVENTARIO!B201,[1]ENTRADAS!E:E)</f>
        <v>2</v>
      </c>
      <c r="F201" s="6">
        <f>SUMIF([1]SALIDAS!B:B,[1]INVENTARIO!B201,[1]SALIDAS!E:E)</f>
        <v>0</v>
      </c>
      <c r="G201" s="6">
        <f t="shared" si="3"/>
        <v>2</v>
      </c>
      <c r="H201" s="9"/>
    </row>
    <row r="202" spans="2:8">
      <c r="B202" s="4">
        <v>200</v>
      </c>
      <c r="C202" s="5" t="str">
        <f>IFERROR(VLOOKUP(B202,[1]ENTRADAS!B:F,2,FALSE),"")</f>
        <v>HACHA</v>
      </c>
      <c r="D202" s="6" t="s">
        <v>7</v>
      </c>
      <c r="E202" s="6">
        <f>SUMIF([1]ENTRADAS!B:B,[1]INVENTARIO!B202,[1]ENTRADAS!E:E)</f>
        <v>2</v>
      </c>
      <c r="F202" s="6">
        <f>SUMIF([1]SALIDAS!B:B,[1]INVENTARIO!B202,[1]SALIDAS!E:E)</f>
        <v>0</v>
      </c>
      <c r="G202" s="6">
        <f t="shared" si="3"/>
        <v>2</v>
      </c>
      <c r="H202" s="9"/>
    </row>
    <row r="203" spans="2:8">
      <c r="B203" s="4">
        <v>201</v>
      </c>
      <c r="C203" s="5" t="str">
        <f>IFERROR(VLOOKUP(B203,[1]ENTRADAS!B:F,2,FALSE),"")</f>
        <v>MALLA DE CERCO</v>
      </c>
      <c r="D203" s="6" t="s">
        <v>7</v>
      </c>
      <c r="E203" s="6">
        <f>SUMIF([1]ENTRADAS!B:B,[1]INVENTARIO!B203,[1]ENTRADAS!E:E)</f>
        <v>1</v>
      </c>
      <c r="F203" s="6">
        <f>SUMIF([1]SALIDAS!B:B,[1]INVENTARIO!B203,[1]SALIDAS!E:E)</f>
        <v>0</v>
      </c>
      <c r="G203" s="6">
        <f t="shared" si="3"/>
        <v>1</v>
      </c>
      <c r="H203" s="9"/>
    </row>
    <row r="204" spans="2:8">
      <c r="B204" s="4">
        <v>202</v>
      </c>
      <c r="C204" s="5" t="str">
        <f>IFERROR(VLOOKUP(B204,[1]ENTRADAS!B:F,2,FALSE),"")</f>
        <v>MACHETE</v>
      </c>
      <c r="D204" s="6" t="s">
        <v>7</v>
      </c>
      <c r="E204" s="6">
        <f>SUMIF([1]ENTRADAS!B:B,[1]INVENTARIO!B204,[1]ENTRADAS!E:E)</f>
        <v>1</v>
      </c>
      <c r="F204" s="6">
        <f>SUMIF([1]SALIDAS!B:B,[1]INVENTARIO!B204,[1]SALIDAS!E:E)</f>
        <v>0</v>
      </c>
      <c r="G204" s="6">
        <f t="shared" si="3"/>
        <v>1</v>
      </c>
      <c r="H204" s="9"/>
    </row>
    <row r="205" spans="2:8">
      <c r="B205" s="4">
        <v>203</v>
      </c>
      <c r="C205" s="5" t="str">
        <f>IFERROR(VLOOKUP(B205,[1]ENTRADAS!B:F,2,FALSE),"")</f>
        <v>DISCO DE CORTE</v>
      </c>
      <c r="D205" s="6" t="s">
        <v>7</v>
      </c>
      <c r="E205" s="6">
        <f>SUMIF([1]ENTRADAS!B:B,[1]INVENTARIO!B205,[1]ENTRADAS!E:E)</f>
        <v>1</v>
      </c>
      <c r="F205" s="6">
        <f>SUMIF([1]SALIDAS!B:B,[1]INVENTARIO!B205,[1]SALIDAS!E:E)</f>
        <v>0</v>
      </c>
      <c r="G205" s="6">
        <f t="shared" si="3"/>
        <v>1</v>
      </c>
      <c r="H205" s="9"/>
    </row>
    <row r="206" spans="2:8">
      <c r="B206" s="4">
        <v>204</v>
      </c>
      <c r="C206" s="5" t="str">
        <f>IFERROR(VLOOKUP(B206,[1]ENTRADAS!B:F,2,FALSE),"")</f>
        <v>PLANCHA PARA BATIR</v>
      </c>
      <c r="D206" s="6" t="s">
        <v>7</v>
      </c>
      <c r="E206" s="6">
        <f>SUMIF([1]ENTRADAS!B:B,[1]INVENTARIO!B206,[1]ENTRADAS!E:E)</f>
        <v>3</v>
      </c>
      <c r="F206" s="6">
        <f>SUMIF([1]SALIDAS!B:B,[1]INVENTARIO!B206,[1]SALIDAS!E:E)</f>
        <v>0</v>
      </c>
      <c r="G206" s="6">
        <f t="shared" si="3"/>
        <v>3</v>
      </c>
      <c r="H206" s="9"/>
    </row>
    <row r="207" spans="2:8">
      <c r="B207" s="4">
        <v>205</v>
      </c>
      <c r="C207" s="5" t="str">
        <f>IFERROR(VLOOKUP(B207,[1]ENTRADAS!B:F,2,FALSE),"")</f>
        <v>PISTOLA CALAFATEADORA</v>
      </c>
      <c r="D207" s="6" t="s">
        <v>7</v>
      </c>
      <c r="E207" s="6">
        <f>SUMIF([1]ENTRADAS!B:B,[1]INVENTARIO!B207,[1]ENTRADAS!E:E)</f>
        <v>1</v>
      </c>
      <c r="F207" s="6">
        <f>SUMIF([1]SALIDAS!B:B,[1]INVENTARIO!B207,[1]SALIDAS!E:E)</f>
        <v>0</v>
      </c>
      <c r="G207" s="6">
        <f t="shared" si="3"/>
        <v>1</v>
      </c>
      <c r="H207" s="9"/>
    </row>
    <row r="208" spans="2:8">
      <c r="B208" s="4">
        <v>206</v>
      </c>
      <c r="C208" s="5" t="str">
        <f>IFERROR(VLOOKUP(B208,[1]ENTRADAS!B:F,2,FALSE),"")</f>
        <v>ABONO HUMUS</v>
      </c>
      <c r="D208" s="6" t="s">
        <v>7</v>
      </c>
      <c r="E208" s="6">
        <f>SUMIF([1]ENTRADAS!B:B,[1]INVENTARIO!B208,[1]ENTRADAS!E:E)</f>
        <v>1</v>
      </c>
      <c r="F208" s="6">
        <f>SUMIF([1]SALIDAS!B:B,[1]INVENTARIO!B208,[1]SALIDAS!E:E)</f>
        <v>0</v>
      </c>
      <c r="G208" s="6">
        <f t="shared" si="3"/>
        <v>1</v>
      </c>
      <c r="H208" s="9"/>
    </row>
    <row r="209" spans="2:8">
      <c r="B209" s="4">
        <v>207</v>
      </c>
      <c r="C209" s="5" t="str">
        <f>IFERROR(VLOOKUP(B209,[1]ENTRADAS!B:F,2,FALSE),"")</f>
        <v>COMBA</v>
      </c>
      <c r="D209" s="6" t="s">
        <v>7</v>
      </c>
      <c r="E209" s="6">
        <f>SUMIF([1]ENTRADAS!B:B,[1]INVENTARIO!B209,[1]ENTRADAS!E:E)</f>
        <v>2</v>
      </c>
      <c r="F209" s="6">
        <f>SUMIF([1]SALIDAS!B:B,[1]INVENTARIO!B209,[1]SALIDAS!E:E)</f>
        <v>0</v>
      </c>
      <c r="G209" s="6">
        <f t="shared" si="3"/>
        <v>2</v>
      </c>
      <c r="H209" s="9"/>
    </row>
    <row r="210" spans="2:8">
      <c r="B210" s="4">
        <v>208</v>
      </c>
      <c r="C210" s="5" t="str">
        <f>IFERROR(VLOOKUP(B210,[1]ENTRADAS!B:F,2,FALSE),"")</f>
        <v>COCINA DE GAZ</v>
      </c>
      <c r="D210" s="6" t="s">
        <v>7</v>
      </c>
      <c r="E210" s="6">
        <f>SUMIF([1]ENTRADAS!B:B,[1]INVENTARIO!B210,[1]ENTRADAS!E:E)</f>
        <v>3</v>
      </c>
      <c r="F210" s="6">
        <f>SUMIF([1]SALIDAS!B:B,[1]INVENTARIO!B210,[1]SALIDAS!E:E)</f>
        <v>0</v>
      </c>
      <c r="G210" s="6">
        <f t="shared" si="3"/>
        <v>3</v>
      </c>
      <c r="H210" s="9"/>
    </row>
    <row r="211" spans="2:8">
      <c r="B211" s="4">
        <v>209</v>
      </c>
      <c r="C211" s="5" t="str">
        <f>IFERROR(VLOOKUP(B211,[1]ENTRADAS!B:F,2,FALSE),"")</f>
        <v>ISQUINERO</v>
      </c>
      <c r="D211" s="6" t="s">
        <v>7</v>
      </c>
      <c r="E211" s="6">
        <f>SUMIF([1]ENTRADAS!B:B,[1]INVENTARIO!B211,[1]ENTRADAS!E:E)</f>
        <v>2</v>
      </c>
      <c r="F211" s="6">
        <f>SUMIF([1]SALIDAS!B:B,[1]INVENTARIO!B211,[1]SALIDAS!E:E)</f>
        <v>0</v>
      </c>
      <c r="G211" s="6">
        <f t="shared" si="3"/>
        <v>2</v>
      </c>
      <c r="H211" s="9"/>
    </row>
    <row r="212" spans="2:8">
      <c r="B212" s="4">
        <v>210</v>
      </c>
      <c r="C212" s="5" t="str">
        <f>IFERROR(VLOOKUP(B212,[1]ENTRADAS!B:F,2,FALSE),"")</f>
        <v>ROLLO DE ALAMBRE</v>
      </c>
      <c r="D212" s="6" t="s">
        <v>7</v>
      </c>
      <c r="E212" s="6">
        <f>SUMIF([1]ENTRADAS!B:B,[1]INVENTARIO!B212,[1]ENTRADAS!E:E)</f>
        <v>2</v>
      </c>
      <c r="F212" s="6">
        <f>SUMIF([1]SALIDAS!B:B,[1]INVENTARIO!B212,[1]SALIDAS!E:E)</f>
        <v>0</v>
      </c>
      <c r="G212" s="6">
        <f t="shared" si="3"/>
        <v>2</v>
      </c>
      <c r="H212" s="9"/>
    </row>
    <row r="213" spans="2:8">
      <c r="B213" s="4">
        <v>211</v>
      </c>
      <c r="C213" s="5" t="str">
        <f>IFERROR(VLOOKUP(B213,[1]ENTRADAS!B:F,2,FALSE),"")</f>
        <v>CRESO</v>
      </c>
      <c r="D213" s="6" t="s">
        <v>11</v>
      </c>
      <c r="E213" s="6">
        <f>SUMIF([1]ENTRADAS!B:B,[1]INVENTARIO!B213,[1]ENTRADAS!E:E)</f>
        <v>1</v>
      </c>
      <c r="F213" s="6">
        <f>SUMIF([1]SALIDAS!B:B,[1]INVENTARIO!B213,[1]SALIDAS!E:E)</f>
        <v>0</v>
      </c>
      <c r="G213" s="6">
        <f t="shared" si="3"/>
        <v>1</v>
      </c>
      <c r="H213" s="9"/>
    </row>
    <row r="214" spans="2:8">
      <c r="B214" s="4">
        <v>212</v>
      </c>
      <c r="C214" s="5" t="str">
        <f>IFERROR(VLOOKUP(B214,[1]ENTRADAS!B:F,2,FALSE),"")</f>
        <v>JAULA DE CUYES</v>
      </c>
      <c r="D214" s="6" t="s">
        <v>7</v>
      </c>
      <c r="E214" s="6">
        <f>SUMIF([1]ENTRADAS!B:B,[1]INVENTARIO!B214,[1]ENTRADAS!E:E)</f>
        <v>8</v>
      </c>
      <c r="F214" s="6">
        <f>SUMIF([1]SALIDAS!B:B,[1]INVENTARIO!B214,[1]SALIDAS!E:E)</f>
        <v>0</v>
      </c>
      <c r="G214" s="6">
        <f t="shared" si="3"/>
        <v>8</v>
      </c>
      <c r="H214" s="9"/>
    </row>
    <row r="215" spans="2:8">
      <c r="B215" s="4">
        <v>213</v>
      </c>
      <c r="C215" s="5" t="str">
        <f>IFERROR(VLOOKUP(B215,[1]ENTRADAS!B:F,2,FALSE),"")</f>
        <v>PUERTA DE MADERA</v>
      </c>
      <c r="D215" s="6" t="s">
        <v>7</v>
      </c>
      <c r="E215" s="6">
        <f>SUMIF([1]ENTRADAS!B:B,[1]INVENTARIO!B215,[1]ENTRADAS!E:E)</f>
        <v>4</v>
      </c>
      <c r="F215" s="6">
        <f>SUMIF([1]SALIDAS!B:B,[1]INVENTARIO!B215,[1]SALIDAS!E:E)</f>
        <v>0</v>
      </c>
      <c r="G215" s="6">
        <f t="shared" si="3"/>
        <v>4</v>
      </c>
      <c r="H215" s="9"/>
    </row>
    <row r="216" spans="2:8">
      <c r="B216" s="4">
        <v>214</v>
      </c>
      <c r="C216" s="5" t="str">
        <f>IFERROR(VLOOKUP(B216,[1]ENTRADAS!B:F,2,FALSE),"")</f>
        <v>MUEBLE EXPANDIBLE</v>
      </c>
      <c r="D216" s="6" t="s">
        <v>7</v>
      </c>
      <c r="E216" s="6">
        <f>SUMIF([1]ENTRADAS!B:B,[1]INVENTARIO!B216,[1]ENTRADAS!E:E)</f>
        <v>8</v>
      </c>
      <c r="F216" s="6">
        <f>SUMIF([1]SALIDAS!B:B,[1]INVENTARIO!B216,[1]SALIDAS!E:E)</f>
        <v>0</v>
      </c>
      <c r="G216" s="6">
        <f t="shared" si="3"/>
        <v>8</v>
      </c>
      <c r="H216" s="9"/>
    </row>
    <row r="217" spans="2:8">
      <c r="B217" s="4">
        <v>215</v>
      </c>
      <c r="C217" s="5" t="str">
        <f>IFERROR(VLOOKUP(B217,[1]ENTRADAS!B:F,2,FALSE),"")</f>
        <v>TINER</v>
      </c>
      <c r="D217" s="6" t="s">
        <v>11</v>
      </c>
      <c r="E217" s="6">
        <f>SUMIF([1]ENTRADAS!B:B,[1]INVENTARIO!B217,[1]ENTRADAS!E:E)</f>
        <v>2</v>
      </c>
      <c r="F217" s="6">
        <f>SUMIF([1]SALIDAS!B:B,[1]INVENTARIO!B217,[1]SALIDAS!E:E)</f>
        <v>0</v>
      </c>
      <c r="G217" s="6">
        <f t="shared" si="3"/>
        <v>2</v>
      </c>
      <c r="H217" s="9"/>
    </row>
    <row r="218" spans="2:8">
      <c r="B218" s="4">
        <v>216</v>
      </c>
      <c r="C218" s="5" t="str">
        <f>IFERROR(VLOOKUP(B218,[1]ENTRADAS!B:F,2,FALSE),"")</f>
        <v>LAVAMANOS</v>
      </c>
      <c r="D218" s="6" t="s">
        <v>7</v>
      </c>
      <c r="E218" s="6">
        <f>SUMIF([1]ENTRADAS!B:B,[1]INVENTARIO!B218,[1]ENTRADAS!E:E)</f>
        <v>19</v>
      </c>
      <c r="F218" s="6">
        <f>SUMIF([1]SALIDAS!B:B,[1]INVENTARIO!B218,[1]SALIDAS!E:E)</f>
        <v>0</v>
      </c>
      <c r="G218" s="6">
        <f t="shared" si="3"/>
        <v>19</v>
      </c>
      <c r="H218" s="9"/>
    </row>
    <row r="219" spans="2:8">
      <c r="B219" s="4">
        <v>217</v>
      </c>
      <c r="C219" s="5" t="str">
        <f>IFERROR(VLOOKUP(B219,[1]ENTRADAS!B:F,2,FALSE),"")</f>
        <v>PAPELERA DE BAÑO</v>
      </c>
      <c r="D219" s="6" t="s">
        <v>7</v>
      </c>
      <c r="E219" s="6">
        <f>SUMIF([1]ENTRADAS!B:B,[1]INVENTARIO!B219,[1]ENTRADAS!E:E)</f>
        <v>4</v>
      </c>
      <c r="F219" s="6">
        <f>SUMIF([1]SALIDAS!B:B,[1]INVENTARIO!B219,[1]SALIDAS!E:E)</f>
        <v>0</v>
      </c>
      <c r="G219" s="6">
        <f t="shared" si="3"/>
        <v>4</v>
      </c>
      <c r="H219" s="9"/>
    </row>
    <row r="220" spans="2:8">
      <c r="B220" s="4">
        <v>218</v>
      </c>
      <c r="C220" s="5" t="str">
        <f>IFERROR(VLOOKUP(B220,[1]ENTRADAS!B:F,2,FALSE),"")</f>
        <v>DISPENSADOR DE PAPEL</v>
      </c>
      <c r="D220" s="6" t="s">
        <v>7</v>
      </c>
      <c r="E220" s="6">
        <f>SUMIF([1]ENTRADAS!B:B,[1]INVENTARIO!B220,[1]ENTRADAS!E:E)</f>
        <v>5</v>
      </c>
      <c r="F220" s="6">
        <f>SUMIF([1]SALIDAS!B:B,[1]INVENTARIO!B220,[1]SALIDAS!E:E)</f>
        <v>0</v>
      </c>
      <c r="G220" s="6">
        <f t="shared" si="3"/>
        <v>5</v>
      </c>
      <c r="H220" s="9"/>
    </row>
    <row r="221" spans="2:8">
      <c r="B221" s="4">
        <v>219</v>
      </c>
      <c r="C221" s="5" t="str">
        <f>IFERROR(VLOOKUP(B221,[1]ENTRADAS!B:F,2,FALSE),"")</f>
        <v>ORINARIO</v>
      </c>
      <c r="D221" s="6" t="s">
        <v>7</v>
      </c>
      <c r="E221" s="6">
        <f>SUMIF([1]ENTRADAS!B:B,[1]INVENTARIO!B221,[1]ENTRADAS!E:E)</f>
        <v>4</v>
      </c>
      <c r="F221" s="6">
        <f>SUMIF([1]SALIDAS!B:B,[1]INVENTARIO!B221,[1]SALIDAS!E:E)</f>
        <v>0</v>
      </c>
      <c r="G221" s="6">
        <f t="shared" si="3"/>
        <v>4</v>
      </c>
      <c r="H221" s="9"/>
    </row>
    <row r="222" spans="2:8">
      <c r="B222" s="4">
        <v>220</v>
      </c>
      <c r="C222" s="5" t="str">
        <f>IFERROR(VLOOKUP(B222,[1]ENTRADAS!B:F,2,FALSE),"")</f>
        <v>TACHO 150 LT</v>
      </c>
      <c r="D222" s="6" t="s">
        <v>7</v>
      </c>
      <c r="E222" s="6">
        <f>SUMIF([1]ENTRADAS!B:B,[1]INVENTARIO!B222,[1]ENTRADAS!E:E)</f>
        <v>2</v>
      </c>
      <c r="F222" s="6">
        <f>SUMIF([1]SALIDAS!B:B,[1]INVENTARIO!B222,[1]SALIDAS!E:E)</f>
        <v>0</v>
      </c>
      <c r="G222" s="6">
        <f t="shared" si="3"/>
        <v>2</v>
      </c>
      <c r="H222" s="9"/>
    </row>
    <row r="223" spans="2:8">
      <c r="B223" s="4">
        <v>221</v>
      </c>
      <c r="C223" s="5" t="str">
        <f>IFERROR(VLOOKUP(B223,[1]ENTRADAS!B:F,2,FALSE),"")</f>
        <v>TACHO 90 LT</v>
      </c>
      <c r="D223" s="6" t="s">
        <v>7</v>
      </c>
      <c r="E223" s="6">
        <f>SUMIF([1]ENTRADAS!B:B,[1]INVENTARIO!B223,[1]ENTRADAS!E:E)</f>
        <v>6</v>
      </c>
      <c r="F223" s="6">
        <f>SUMIF([1]SALIDAS!B:B,[1]INVENTARIO!B223,[1]SALIDAS!E:E)</f>
        <v>0</v>
      </c>
      <c r="G223" s="6">
        <f t="shared" si="3"/>
        <v>6</v>
      </c>
      <c r="H223" s="9"/>
    </row>
    <row r="224" spans="2:8">
      <c r="B224" s="4">
        <v>222</v>
      </c>
      <c r="C224" s="5" t="str">
        <f>IFERROR(VLOOKUP(B224,[1]ENTRADAS!B:F,2,FALSE),"")</f>
        <v>INODORO</v>
      </c>
      <c r="D224" s="6" t="s">
        <v>7</v>
      </c>
      <c r="E224" s="6">
        <f>SUMIF([1]ENTRADAS!B:B,[1]INVENTARIO!B224,[1]ENTRADAS!E:E)</f>
        <v>6</v>
      </c>
      <c r="F224" s="6">
        <f>SUMIF([1]SALIDAS!B:B,[1]INVENTARIO!B224,[1]SALIDAS!E:E)</f>
        <v>0</v>
      </c>
      <c r="G224" s="6">
        <f t="shared" si="3"/>
        <v>6</v>
      </c>
      <c r="H224" s="9"/>
    </row>
    <row r="225" spans="2:8">
      <c r="B225" s="4">
        <v>223</v>
      </c>
      <c r="C225" s="5" t="str">
        <f>IFERROR(VLOOKUP(B225,[1]ENTRADAS!B:F,2,FALSE),"")</f>
        <v>PEDESTAL DE LAVAMANO</v>
      </c>
      <c r="D225" s="6" t="s">
        <v>7</v>
      </c>
      <c r="E225" s="6">
        <f>SUMIF([1]ENTRADAS!B:B,[1]INVENTARIO!B225,[1]ENTRADAS!E:E)</f>
        <v>3</v>
      </c>
      <c r="F225" s="6">
        <f>SUMIF([1]SALIDAS!B:B,[1]INVENTARIO!B225,[1]SALIDAS!E:E)</f>
        <v>0</v>
      </c>
      <c r="G225" s="6">
        <f t="shared" si="3"/>
        <v>3</v>
      </c>
      <c r="H225" s="9"/>
    </row>
    <row r="226" spans="2:8">
      <c r="B226" s="4">
        <v>224</v>
      </c>
      <c r="C226" s="5" t="str">
        <f>IFERROR(VLOOKUP(B226,[1]ENTRADAS!B:F,2,FALSE),"")</f>
        <v>TANQUE DE INODORO</v>
      </c>
      <c r="D226" s="6" t="s">
        <v>7</v>
      </c>
      <c r="E226" s="6">
        <f>SUMIF([1]ENTRADAS!B:B,[1]INVENTARIO!B226,[1]ENTRADAS!E:E)</f>
        <v>3</v>
      </c>
      <c r="F226" s="6">
        <f>SUMIF([1]SALIDAS!B:B,[1]INVENTARIO!B226,[1]SALIDAS!E:E)</f>
        <v>0</v>
      </c>
      <c r="G226" s="6">
        <f t="shared" si="3"/>
        <v>3</v>
      </c>
      <c r="H226" s="9"/>
    </row>
    <row r="227" spans="2:8">
      <c r="B227" s="4">
        <v>225</v>
      </c>
      <c r="C227" s="5" t="str">
        <f>IFERROR(VLOOKUP(B227,[1]ENTRADAS!B:F,2,FALSE),"")</f>
        <v>MESA CIRCULAR PLEJABLE</v>
      </c>
      <c r="D227" s="6" t="s">
        <v>7</v>
      </c>
      <c r="E227" s="6">
        <f>SUMIF([1]ENTRADAS!B:B,[1]INVENTARIO!B227,[1]ENTRADAS!E:E)</f>
        <v>3</v>
      </c>
      <c r="F227" s="6">
        <f>SUMIF([1]SALIDAS!B:B,[1]INVENTARIO!B227,[1]SALIDAS!E:E)</f>
        <v>0</v>
      </c>
      <c r="G227" s="6">
        <f t="shared" si="3"/>
        <v>3</v>
      </c>
      <c r="H227" s="9"/>
    </row>
    <row r="228" spans="2:8">
      <c r="B228" s="4">
        <v>226</v>
      </c>
      <c r="C228" s="5" t="str">
        <f>IFERROR(VLOOKUP(B228,[1]ENTRADAS!B:F,2,FALSE),"")</f>
        <v>MESA RECTANGULAR PLEGABLE</v>
      </c>
      <c r="D228" s="6" t="s">
        <v>7</v>
      </c>
      <c r="E228" s="6">
        <f>SUMIF([1]ENTRADAS!B:B,[1]INVENTARIO!B228,[1]ENTRADAS!E:E)</f>
        <v>2</v>
      </c>
      <c r="F228" s="6">
        <f>SUMIF([1]SALIDAS!B:B,[1]INVENTARIO!B228,[1]SALIDAS!E:E)</f>
        <v>0</v>
      </c>
      <c r="G228" s="6">
        <f t="shared" si="3"/>
        <v>2</v>
      </c>
      <c r="H228" s="9"/>
    </row>
    <row r="229" spans="2:8">
      <c r="B229" s="4">
        <v>227</v>
      </c>
      <c r="C229" s="5" t="str">
        <f>IFERROR(VLOOKUP(B229,[1]ENTRADAS!B:F,2,FALSE),"")</f>
        <v>MESA DE PLASTICO</v>
      </c>
      <c r="D229" s="6" t="s">
        <v>7</v>
      </c>
      <c r="E229" s="6">
        <f>SUMIF([1]ENTRADAS!B:B,[1]INVENTARIO!B229,[1]ENTRADAS!E:E)</f>
        <v>5</v>
      </c>
      <c r="F229" s="6">
        <f>SUMIF([1]SALIDAS!B:B,[1]INVENTARIO!B229,[1]SALIDAS!E:E)</f>
        <v>0</v>
      </c>
      <c r="G229" s="6">
        <f t="shared" si="3"/>
        <v>5</v>
      </c>
      <c r="H229" s="9"/>
    </row>
    <row r="230" spans="2:8">
      <c r="B230" s="4">
        <v>228</v>
      </c>
      <c r="C230" s="5" t="str">
        <f>IFERROR(VLOOKUP(B230,[1]ENTRADAS!B:F,2,FALSE),"")</f>
        <v>CABALLETE</v>
      </c>
      <c r="D230" s="6" t="s">
        <v>7</v>
      </c>
      <c r="E230" s="6">
        <f>SUMIF([1]ENTRADAS!B:B,[1]INVENTARIO!B230,[1]ENTRADAS!E:E)</f>
        <v>2</v>
      </c>
      <c r="F230" s="6">
        <f>SUMIF([1]SALIDAS!B:B,[1]INVENTARIO!B230,[1]SALIDAS!E:E)</f>
        <v>0</v>
      </c>
      <c r="G230" s="6">
        <f t="shared" si="3"/>
        <v>2</v>
      </c>
      <c r="H230" s="9"/>
    </row>
    <row r="231" spans="2:8">
      <c r="B231" s="4">
        <v>229</v>
      </c>
      <c r="C231" s="5" t="str">
        <f>IFERROR(VLOOKUP(B231,[1]ENTRADAS!B:F,2,FALSE),"")</f>
        <v>LAVADORA</v>
      </c>
      <c r="D231" s="6" t="s">
        <v>7</v>
      </c>
      <c r="E231" s="6">
        <f>SUMIF([1]ENTRADAS!B:B,[1]INVENTARIO!B231,[1]ENTRADAS!E:E)</f>
        <v>1</v>
      </c>
      <c r="F231" s="6">
        <f>SUMIF([1]SALIDAS!B:B,[1]INVENTARIO!B231,[1]SALIDAS!E:E)</f>
        <v>0</v>
      </c>
      <c r="G231" s="6">
        <f t="shared" si="3"/>
        <v>1</v>
      </c>
      <c r="H231" s="9"/>
    </row>
    <row r="232" spans="2:8">
      <c r="B232" s="4">
        <v>230</v>
      </c>
      <c r="C232" s="5" t="str">
        <f>IFERROR(VLOOKUP(B232,[1]ENTRADAS!B:F,2,FALSE),"")</f>
        <v>COLADOR GRANDE PARA FRITURAS</v>
      </c>
      <c r="D232" s="6" t="s">
        <v>7</v>
      </c>
      <c r="E232" s="6">
        <f>SUMIF([1]ENTRADAS!B:B,[1]INVENTARIO!B232,[1]ENTRADAS!E:E)</f>
        <v>1</v>
      </c>
      <c r="F232" s="6">
        <f>SUMIF([1]SALIDAS!B:B,[1]INVENTARIO!B232,[1]SALIDAS!E:E)</f>
        <v>0</v>
      </c>
      <c r="G232" s="6">
        <f t="shared" si="3"/>
        <v>1</v>
      </c>
      <c r="H232" s="9"/>
    </row>
    <row r="233" spans="2:8">
      <c r="B233" s="4">
        <v>231</v>
      </c>
      <c r="C233" s="5" t="str">
        <f>IFERROR(VLOOKUP(B233,[1]ENTRADAS!B:F,2,FALSE),"")</f>
        <v>MOLINO DE MANO</v>
      </c>
      <c r="D233" s="6" t="s">
        <v>7</v>
      </c>
      <c r="E233" s="6">
        <f>SUMIF([1]ENTRADAS!B:B,[1]INVENTARIO!B233,[1]ENTRADAS!E:E)</f>
        <v>7</v>
      </c>
      <c r="F233" s="6">
        <f>SUMIF([1]SALIDAS!B:B,[1]INVENTARIO!B233,[1]SALIDAS!E:E)</f>
        <v>0</v>
      </c>
      <c r="G233" s="6">
        <f t="shared" si="3"/>
        <v>7</v>
      </c>
      <c r="H233" s="9"/>
    </row>
    <row r="234" spans="2:8">
      <c r="B234" s="4">
        <v>232</v>
      </c>
      <c r="C234" s="5" t="str">
        <f>IFERROR(VLOOKUP(B234,[1]ENTRADAS!B:F,2,FALSE),"")</f>
        <v>BANDEJA DE MOSOS</v>
      </c>
      <c r="D234" s="6" t="s">
        <v>7</v>
      </c>
      <c r="E234" s="6">
        <f>SUMIF([1]ENTRADAS!B:B,[1]INVENTARIO!B234,[1]ENTRADAS!E:E)</f>
        <v>1</v>
      </c>
      <c r="F234" s="6">
        <f>SUMIF([1]SALIDAS!B:B,[1]INVENTARIO!B234,[1]SALIDAS!E:E)</f>
        <v>0</v>
      </c>
      <c r="G234" s="6">
        <f t="shared" si="3"/>
        <v>1</v>
      </c>
      <c r="H234" s="9"/>
    </row>
    <row r="235" spans="2:8">
      <c r="B235" s="4">
        <v>233</v>
      </c>
      <c r="C235" s="5" t="str">
        <f>IFERROR(VLOOKUP(B235,[1]ENTRADAS!B:F,2,FALSE),"")</f>
        <v>PARRILLERAS</v>
      </c>
      <c r="D235" s="6" t="s">
        <v>7</v>
      </c>
      <c r="E235" s="6">
        <f>SUMIF([1]ENTRADAS!B:B,[1]INVENTARIO!B235,[1]ENTRADAS!E:E)</f>
        <v>10</v>
      </c>
      <c r="F235" s="6">
        <f>SUMIF([1]SALIDAS!B:B,[1]INVENTARIO!B235,[1]SALIDAS!E:E)</f>
        <v>0</v>
      </c>
      <c r="G235" s="6">
        <f t="shared" si="3"/>
        <v>10</v>
      </c>
      <c r="H235" s="9"/>
    </row>
    <row r="236" spans="2:8">
      <c r="B236" s="4">
        <v>234</v>
      </c>
      <c r="C236" s="5" t="str">
        <f>IFERROR(VLOOKUP(B236,[1]ENTRADAS!B:F,2,FALSE),"")</f>
        <v>COCINAS DE CILINDRO</v>
      </c>
      <c r="D236" s="6" t="s">
        <v>7</v>
      </c>
      <c r="E236" s="6">
        <f>SUMIF([1]ENTRADAS!B:B,[1]INVENTARIO!B236,[1]ENTRADAS!E:E)</f>
        <v>2</v>
      </c>
      <c r="F236" s="6">
        <f>SUMIF([1]SALIDAS!B:B,[1]INVENTARIO!B236,[1]SALIDAS!E:E)</f>
        <v>0</v>
      </c>
      <c r="G236" s="6">
        <f t="shared" si="3"/>
        <v>2</v>
      </c>
      <c r="H236" s="9"/>
    </row>
    <row r="237" spans="2:8">
      <c r="B237" s="4">
        <v>235</v>
      </c>
      <c r="C237" s="5" t="str">
        <f>IFERROR(VLOOKUP(B237,[1]ENTRADAS!B:F,2,FALSE),"")</f>
        <v>TANQUE DE AGUA 500L</v>
      </c>
      <c r="D237" s="6" t="s">
        <v>7</v>
      </c>
      <c r="E237" s="6">
        <f>SUMIF([1]ENTRADAS!B:B,[1]INVENTARIO!B237,[1]ENTRADAS!E:E)</f>
        <v>2</v>
      </c>
      <c r="F237" s="6">
        <f>SUMIF([1]SALIDAS!B:B,[1]INVENTARIO!B237,[1]SALIDAS!E:E)</f>
        <v>0</v>
      </c>
      <c r="G237" s="6">
        <f t="shared" si="3"/>
        <v>2</v>
      </c>
      <c r="H237" s="9"/>
    </row>
    <row r="238" spans="2:8">
      <c r="B238" s="4">
        <v>236</v>
      </c>
      <c r="C238" s="5" t="str">
        <f>IFERROR(VLOOKUP(B238,[1]ENTRADAS!B:F,2,FALSE),"")</f>
        <v>CALAMINA TRANSLUCIDA</v>
      </c>
      <c r="D238" s="6" t="s">
        <v>7</v>
      </c>
      <c r="E238" s="6">
        <f>SUMIF([1]ENTRADAS!B:B,[1]INVENTARIO!B238,[1]ENTRADAS!E:E)</f>
        <v>1</v>
      </c>
      <c r="F238" s="6">
        <f>SUMIF([1]SALIDAS!B:B,[1]INVENTARIO!B238,[1]SALIDAS!E:E)</f>
        <v>0</v>
      </c>
      <c r="G238" s="6">
        <f t="shared" si="3"/>
        <v>1</v>
      </c>
      <c r="H238" s="9"/>
    </row>
    <row r="239" spans="2:8">
      <c r="B239" s="4">
        <v>237</v>
      </c>
      <c r="C239" s="5" t="str">
        <f>IFERROR(VLOOKUP(B239,[1]ENTRADAS!B:F,2,FALSE),"")</f>
        <v>PLATO TENDIDO DE ALMUERZO</v>
      </c>
      <c r="D239" s="6" t="s">
        <v>7</v>
      </c>
      <c r="E239" s="6">
        <f>SUMIF([1]ENTRADAS!B:B,[1]INVENTARIO!B239,[1]ENTRADAS!E:E)</f>
        <v>1</v>
      </c>
      <c r="F239" s="6">
        <f>SUMIF([1]SALIDAS!B:B,[1]INVENTARIO!B239,[1]SALIDAS!E:E)</f>
        <v>0</v>
      </c>
      <c r="G239" s="6">
        <f t="shared" si="3"/>
        <v>1</v>
      </c>
      <c r="H239" s="9"/>
    </row>
    <row r="240" spans="2:8">
      <c r="B240" s="4">
        <v>238</v>
      </c>
      <c r="C240" s="5" t="str">
        <f>IFERROR(VLOOKUP(B240,[1]ENTRADAS!B:F,2,FALSE),"")</f>
        <v>PLATO CON BLONDAS</v>
      </c>
      <c r="D240" s="6" t="s">
        <v>7</v>
      </c>
      <c r="E240" s="6">
        <f>SUMIF([1]ENTRADAS!B:B,[1]INVENTARIO!B240,[1]ENTRADAS!E:E)</f>
        <v>282</v>
      </c>
      <c r="F240" s="6">
        <f>SUMIF([1]SALIDAS!B:B,[1]INVENTARIO!B240,[1]SALIDAS!E:E)</f>
        <v>0</v>
      </c>
      <c r="G240" s="6">
        <f t="shared" si="3"/>
        <v>282</v>
      </c>
      <c r="H240" s="9"/>
    </row>
    <row r="241" spans="2:8">
      <c r="B241" s="4">
        <v>239</v>
      </c>
      <c r="C241" s="5" t="str">
        <f>IFERROR(VLOOKUP(B241,[1]ENTRADAS!B:F,2,FALSE),"")</f>
        <v>TENDIDO NEGRO MEDIANO</v>
      </c>
      <c r="D241" s="6" t="s">
        <v>7</v>
      </c>
      <c r="E241" s="6">
        <f>SUMIF([1]ENTRADAS!B:B,[1]INVENTARIO!B241,[1]ENTRADAS!E:E)</f>
        <v>3</v>
      </c>
      <c r="F241" s="6">
        <f>SUMIF([1]SALIDAS!B:B,[1]INVENTARIO!B241,[1]SALIDAS!E:E)</f>
        <v>0</v>
      </c>
      <c r="G241" s="6">
        <f t="shared" si="3"/>
        <v>3</v>
      </c>
      <c r="H241" s="9"/>
    </row>
    <row r="242" spans="2:8">
      <c r="B242" s="4">
        <v>240</v>
      </c>
      <c r="C242" s="5" t="str">
        <f>IFERROR(VLOOKUP(B242,[1]ENTRADAS!B:F,2,FALSE),"")</f>
        <v>PLATO CUADRO REDONDEADO HONDO</v>
      </c>
      <c r="D242" s="6" t="s">
        <v>7</v>
      </c>
      <c r="E242" s="6">
        <f>SUMIF([1]ENTRADAS!B:B,[1]INVENTARIO!B242,[1]ENTRADAS!E:E)</f>
        <v>5</v>
      </c>
      <c r="F242" s="6">
        <f>SUMIF([1]SALIDAS!B:B,[1]INVENTARIO!B242,[1]SALIDAS!E:E)</f>
        <v>0</v>
      </c>
      <c r="G242" s="6">
        <f t="shared" si="3"/>
        <v>5</v>
      </c>
      <c r="H242" s="9"/>
    </row>
    <row r="243" spans="2:8">
      <c r="B243" s="4">
        <v>241</v>
      </c>
      <c r="C243" s="5" t="str">
        <f>IFERROR(VLOOKUP(B243,[1]ENTRADAS!B:F,2,FALSE),"")</f>
        <v>PLATO TENDIDO PEQUEÑO</v>
      </c>
      <c r="D243" s="6" t="s">
        <v>7</v>
      </c>
      <c r="E243" s="6">
        <f>SUMIF([1]ENTRADAS!B:B,[1]INVENTARIO!B243,[1]ENTRADAS!E:E)</f>
        <v>6</v>
      </c>
      <c r="F243" s="6">
        <f>SUMIF([1]SALIDAS!B:B,[1]INVENTARIO!B243,[1]SALIDAS!E:E)</f>
        <v>0</v>
      </c>
      <c r="G243" s="6">
        <f t="shared" si="3"/>
        <v>6</v>
      </c>
      <c r="H243" s="9"/>
    </row>
    <row r="244" spans="2:8">
      <c r="B244" s="4">
        <v>242</v>
      </c>
      <c r="C244" s="5" t="str">
        <f>IFERROR(VLOOKUP(B244,[1]ENTRADAS!B:F,2,FALSE),"")</f>
        <v>PLATO BASE DE TAZA</v>
      </c>
      <c r="D244" s="6" t="s">
        <v>7</v>
      </c>
      <c r="E244" s="6">
        <f>SUMIF([1]ENTRADAS!B:B,[1]INVENTARIO!B244,[1]ENTRADAS!E:E)</f>
        <v>28</v>
      </c>
      <c r="F244" s="6">
        <f>SUMIF([1]SALIDAS!B:B,[1]INVENTARIO!B244,[1]SALIDAS!E:E)</f>
        <v>0</v>
      </c>
      <c r="G244" s="6">
        <f t="shared" si="3"/>
        <v>28</v>
      </c>
      <c r="H244" s="9"/>
    </row>
    <row r="245" spans="2:8">
      <c r="B245" s="4">
        <v>243</v>
      </c>
      <c r="C245" s="5" t="str">
        <f>IFERROR(VLOOKUP(B245,[1]ENTRADAS!B:F,2,FALSE),"")</f>
        <v>PLATO TENDIDO NEGRO GRANDE</v>
      </c>
      <c r="D245" s="6" t="s">
        <v>7</v>
      </c>
      <c r="E245" s="6">
        <f>SUMIF([1]ENTRADAS!B:B,[1]INVENTARIO!B245,[1]ENTRADAS!E:E)</f>
        <v>4</v>
      </c>
      <c r="F245" s="6">
        <f>SUMIF([1]SALIDAS!B:B,[1]INVENTARIO!B245,[1]SALIDAS!E:E)</f>
        <v>0</v>
      </c>
      <c r="G245" s="6">
        <f t="shared" si="3"/>
        <v>4</v>
      </c>
      <c r="H245" s="9"/>
    </row>
    <row r="246" spans="2:8">
      <c r="B246" s="4">
        <v>244</v>
      </c>
      <c r="C246" s="5" t="str">
        <f>IFERROR(VLOOKUP(B246,[1]ENTRADAS!B:F,2,FALSE),"")</f>
        <v>PLATO CUADRADO TENDIDO</v>
      </c>
      <c r="D246" s="6" t="s">
        <v>7</v>
      </c>
      <c r="E246" s="6">
        <f>SUMIF([1]ENTRADAS!B:B,[1]INVENTARIO!B246,[1]ENTRADAS!E:E)</f>
        <v>26</v>
      </c>
      <c r="F246" s="6">
        <f>SUMIF([1]SALIDAS!B:B,[1]INVENTARIO!B246,[1]SALIDAS!E:E)</f>
        <v>0</v>
      </c>
      <c r="G246" s="6">
        <f t="shared" si="3"/>
        <v>26</v>
      </c>
      <c r="H246" s="9"/>
    </row>
    <row r="247" spans="2:8">
      <c r="B247" s="4">
        <v>245</v>
      </c>
      <c r="C247" s="5" t="str">
        <f>IFERROR(VLOOKUP(B247,[1]ENTRADAS!B:F,2,FALSE),"")</f>
        <v>PLATO BLACO TENDIDO CORELLE</v>
      </c>
      <c r="D247" s="6" t="s">
        <v>7</v>
      </c>
      <c r="E247" s="6">
        <f>SUMIF([1]ENTRADAS!B:B,[1]INVENTARIO!B247,[1]ENTRADAS!E:E)</f>
        <v>10</v>
      </c>
      <c r="F247" s="6">
        <f>SUMIF([1]SALIDAS!B:B,[1]INVENTARIO!B247,[1]SALIDAS!E:E)</f>
        <v>0</v>
      </c>
      <c r="G247" s="6">
        <f t="shared" si="3"/>
        <v>10</v>
      </c>
      <c r="H247" s="9"/>
    </row>
    <row r="248" spans="2:8">
      <c r="B248" s="4">
        <v>246</v>
      </c>
      <c r="C248" s="5" t="str">
        <f>IFERROR(VLOOKUP(B248,[1]ENTRADAS!B:F,2,FALSE),"")</f>
        <v>PLATO BANDERA PEQUEÑO</v>
      </c>
      <c r="D248" s="6" t="s">
        <v>7</v>
      </c>
      <c r="E248" s="6">
        <f>SUMIF([1]ENTRADAS!B:B,[1]INVENTARIO!B248,[1]ENTRADAS!E:E)</f>
        <v>92</v>
      </c>
      <c r="F248" s="6">
        <f>SUMIF([1]SALIDAS!B:B,[1]INVENTARIO!B248,[1]SALIDAS!E:E)</f>
        <v>0</v>
      </c>
      <c r="G248" s="6">
        <f t="shared" si="3"/>
        <v>92</v>
      </c>
      <c r="H248" s="9"/>
    </row>
    <row r="249" spans="2:8">
      <c r="B249" s="4">
        <v>247</v>
      </c>
      <c r="C249" s="5" t="str">
        <f>IFERROR(VLOOKUP(B249,[1]ENTRADAS!B:F,2,FALSE),"")</f>
        <v>PLATO BANDERA GRANDE</v>
      </c>
      <c r="D249" s="6" t="s">
        <v>7</v>
      </c>
      <c r="E249" s="6">
        <f>SUMIF([1]ENTRADAS!B:B,[1]INVENTARIO!B249,[1]ENTRADAS!E:E)</f>
        <v>14</v>
      </c>
      <c r="F249" s="6">
        <f>SUMIF([1]SALIDAS!B:B,[1]INVENTARIO!B249,[1]SALIDAS!E:E)</f>
        <v>0</v>
      </c>
      <c r="G249" s="6">
        <f t="shared" si="3"/>
        <v>14</v>
      </c>
      <c r="H249" s="9"/>
    </row>
    <row r="250" spans="2:8">
      <c r="B250" s="4">
        <v>248</v>
      </c>
      <c r="C250" s="5" t="str">
        <f>IFERROR(VLOOKUP(B250,[1]ENTRADAS!B:F,2,FALSE),"")</f>
        <v>PLATO TENDIDO PLOMO</v>
      </c>
      <c r="D250" s="6" t="s">
        <v>7</v>
      </c>
      <c r="E250" s="6">
        <f>SUMIF([1]ENTRADAS!B:B,[1]INVENTARIO!B250,[1]ENTRADAS!E:E)</f>
        <v>12</v>
      </c>
      <c r="F250" s="6">
        <f>SUMIF([1]SALIDAS!B:B,[1]INVENTARIO!B250,[1]SALIDAS!E:E)</f>
        <v>0</v>
      </c>
      <c r="G250" s="6">
        <f t="shared" si="3"/>
        <v>12</v>
      </c>
      <c r="H250" s="9"/>
    </row>
    <row r="251" spans="2:8">
      <c r="B251" s="4">
        <v>249</v>
      </c>
      <c r="C251" s="5" t="str">
        <f>IFERROR(VLOOKUP(B251,[1]ENTRADAS!B:F,2,FALSE),"")</f>
        <v>PLATO CON DEVICION</v>
      </c>
      <c r="D251" s="6" t="s">
        <v>7</v>
      </c>
      <c r="E251" s="6">
        <f>SUMIF([1]ENTRADAS!B:B,[1]INVENTARIO!B251,[1]ENTRADAS!E:E)</f>
        <v>4</v>
      </c>
      <c r="F251" s="6">
        <f>SUMIF([1]SALIDAS!B:B,[1]INVENTARIO!B251,[1]SALIDAS!E:E)</f>
        <v>0</v>
      </c>
      <c r="G251" s="6">
        <f t="shared" si="3"/>
        <v>4</v>
      </c>
      <c r="H251" s="9"/>
    </row>
    <row r="252" spans="2:8">
      <c r="B252" s="4">
        <v>250</v>
      </c>
      <c r="C252" s="5" t="str">
        <f>IFERROR(VLOOKUP(B252,[1]ENTRADAS!B:F,2,FALSE),"")</f>
        <v>BOWL DE  VIDRIO</v>
      </c>
      <c r="D252" s="6" t="s">
        <v>7</v>
      </c>
      <c r="E252" s="6">
        <f>SUMIF([1]ENTRADAS!B:B,[1]INVENTARIO!B252,[1]ENTRADAS!E:E)</f>
        <v>4</v>
      </c>
      <c r="F252" s="6">
        <f>SUMIF([1]SALIDAS!B:B,[1]INVENTARIO!B252,[1]SALIDAS!E:E)</f>
        <v>0</v>
      </c>
      <c r="G252" s="6">
        <f t="shared" si="3"/>
        <v>4</v>
      </c>
      <c r="H252" s="9"/>
    </row>
    <row r="253" spans="2:8">
      <c r="B253" s="4">
        <v>251</v>
      </c>
      <c r="C253" s="5" t="str">
        <f>IFERROR(VLOOKUP(B253,[1]ENTRADAS!B:F,2,FALSE),"")</f>
        <v>BOWL DE LOZA</v>
      </c>
      <c r="D253" s="6" t="s">
        <v>7</v>
      </c>
      <c r="E253" s="6">
        <f>SUMIF([1]ENTRADAS!B:B,[1]INVENTARIO!B253,[1]ENTRADAS!E:E)</f>
        <v>13</v>
      </c>
      <c r="F253" s="6">
        <f>SUMIF([1]SALIDAS!B:B,[1]INVENTARIO!B253,[1]SALIDAS!E:E)</f>
        <v>0</v>
      </c>
      <c r="G253" s="6">
        <f t="shared" si="3"/>
        <v>13</v>
      </c>
      <c r="H253" s="9"/>
    </row>
    <row r="254" spans="2:8">
      <c r="B254" s="4">
        <v>252</v>
      </c>
      <c r="C254" s="5" t="str">
        <f>IFERROR(VLOOKUP(B254,[1]ENTRADAS!B:F,2,FALSE),"")</f>
        <v>PLATO HONDO SOPA</v>
      </c>
      <c r="D254" s="6" t="s">
        <v>7</v>
      </c>
      <c r="E254" s="6">
        <f>SUMIF([1]ENTRADAS!B:B,[1]INVENTARIO!B254,[1]ENTRADAS!E:E)</f>
        <v>3</v>
      </c>
      <c r="F254" s="6">
        <f>SUMIF([1]SALIDAS!B:B,[1]INVENTARIO!B254,[1]SALIDAS!E:E)</f>
        <v>0</v>
      </c>
      <c r="G254" s="6">
        <f t="shared" si="3"/>
        <v>3</v>
      </c>
      <c r="H254" s="9"/>
    </row>
    <row r="255" spans="2:8">
      <c r="B255" s="4">
        <v>253</v>
      </c>
      <c r="C255" s="5" t="str">
        <f>IFERROR(VLOOKUP(B255,[1]ENTRADAS!B:F,2,FALSE),"")</f>
        <v>PLATO HONDO SOPA PLUS</v>
      </c>
      <c r="D255" s="6" t="s">
        <v>7</v>
      </c>
      <c r="E255" s="6">
        <f>SUMIF([1]ENTRADAS!B:B,[1]INVENTARIO!B255,[1]ENTRADAS!E:E)</f>
        <v>79</v>
      </c>
      <c r="F255" s="6">
        <f>SUMIF([1]SALIDAS!B:B,[1]INVENTARIO!B255,[1]SALIDAS!E:E)</f>
        <v>0</v>
      </c>
      <c r="G255" s="6">
        <f t="shared" si="3"/>
        <v>79</v>
      </c>
      <c r="H255" s="9"/>
    </row>
    <row r="256" spans="2:8">
      <c r="B256" s="4">
        <v>254</v>
      </c>
      <c r="C256" s="5" t="str">
        <f>IFERROR(VLOOKUP(B256,[1]ENTRADAS!B:F,2,FALSE),"")</f>
        <v>PLATO HONDO SOPA LESS</v>
      </c>
      <c r="D256" s="6" t="s">
        <v>7</v>
      </c>
      <c r="E256" s="6">
        <f>SUMIF([1]ENTRADAS!B:B,[1]INVENTARIO!B256,[1]ENTRADAS!E:E)</f>
        <v>6</v>
      </c>
      <c r="F256" s="6">
        <f>SUMIF([1]SALIDAS!B:B,[1]INVENTARIO!B256,[1]SALIDAS!E:E)</f>
        <v>0</v>
      </c>
      <c r="G256" s="6">
        <f t="shared" si="3"/>
        <v>6</v>
      </c>
      <c r="H256" s="9"/>
    </row>
    <row r="257" spans="2:8">
      <c r="B257" s="4">
        <v>255</v>
      </c>
      <c r="C257" s="5" t="str">
        <f>IFERROR(VLOOKUP(B257,[1]ENTRADAS!B:F,2,FALSE),"")</f>
        <v>PLATO DE VIDRO DORADO</v>
      </c>
      <c r="D257" s="6" t="s">
        <v>7</v>
      </c>
      <c r="E257" s="6">
        <f>SUMIF([1]ENTRADAS!B:B,[1]INVENTARIO!B257,[1]ENTRADAS!E:E)</f>
        <v>11</v>
      </c>
      <c r="F257" s="6">
        <f>SUMIF([1]SALIDAS!B:B,[1]INVENTARIO!B257,[1]SALIDAS!E:E)</f>
        <v>0</v>
      </c>
      <c r="G257" s="6">
        <f t="shared" si="3"/>
        <v>11</v>
      </c>
      <c r="H257" s="9"/>
    </row>
    <row r="258" spans="2:8">
      <c r="B258" s="4">
        <v>256</v>
      </c>
      <c r="C258" s="5" t="str">
        <f>IFERROR(VLOOKUP(B258,[1]ENTRADAS!B:F,2,FALSE),"")</f>
        <v>BOWL DE VIDRIO DORADO</v>
      </c>
      <c r="D258" s="6" t="s">
        <v>7</v>
      </c>
      <c r="E258" s="6">
        <f>SUMIF([1]ENTRADAS!B:B,[1]INVENTARIO!B258,[1]ENTRADAS!E:E)</f>
        <v>45</v>
      </c>
      <c r="F258" s="6">
        <f>SUMIF([1]SALIDAS!B:B,[1]INVENTARIO!B258,[1]SALIDAS!E:E)</f>
        <v>0</v>
      </c>
      <c r="G258" s="6">
        <f t="shared" si="3"/>
        <v>45</v>
      </c>
      <c r="H258" s="9"/>
    </row>
    <row r="259" spans="2:8">
      <c r="B259" s="4">
        <v>257</v>
      </c>
      <c r="C259" s="5" t="str">
        <f>IFERROR(VLOOKUP(B259,[1]ENTRADAS!B:F,2,FALSE),"")</f>
        <v>MOLINILLO</v>
      </c>
      <c r="D259" s="6" t="s">
        <v>7</v>
      </c>
      <c r="E259" s="6">
        <f>SUMIF([1]ENTRADAS!B:B,[1]INVENTARIO!B259,[1]ENTRADAS!E:E)</f>
        <v>2</v>
      </c>
      <c r="F259" s="6">
        <f>SUMIF([1]SALIDAS!B:B,[1]INVENTARIO!B259,[1]SALIDAS!E:E)</f>
        <v>0</v>
      </c>
      <c r="G259" s="6">
        <f t="shared" ref="G259:G322" si="4">E259-F259</f>
        <v>2</v>
      </c>
      <c r="H259" s="9"/>
    </row>
    <row r="260" spans="2:8">
      <c r="B260" s="4">
        <v>258</v>
      </c>
      <c r="C260" s="5" t="str">
        <f>IFERROR(VLOOKUP(B260,[1]ENTRADAS!B:F,2,FALSE),"")</f>
        <v>BALDE DE ACEITE</v>
      </c>
      <c r="D260" s="6" t="s">
        <v>7</v>
      </c>
      <c r="E260" s="6">
        <f>SUMIF([1]ENTRADAS!B:B,[1]INVENTARIO!B260,[1]ENTRADAS!E:E)</f>
        <v>6</v>
      </c>
      <c r="F260" s="6">
        <f>SUMIF([1]SALIDAS!B:B,[1]INVENTARIO!B260,[1]SALIDAS!E:E)</f>
        <v>0</v>
      </c>
      <c r="G260" s="6">
        <f t="shared" si="4"/>
        <v>6</v>
      </c>
      <c r="H260" s="9"/>
    </row>
    <row r="261" spans="2:8">
      <c r="B261" s="4">
        <v>259</v>
      </c>
      <c r="C261" s="5" t="str">
        <f>IFERROR(VLOOKUP(B261,[1]ENTRADAS!B:F,2,FALSE),"")</f>
        <v>OLLA DE 50 CM ALTURA</v>
      </c>
      <c r="D261" s="6" t="s">
        <v>7</v>
      </c>
      <c r="E261" s="6">
        <f>SUMIF([1]ENTRADAS!B:B,[1]INVENTARIO!B261,[1]ENTRADAS!E:E)</f>
        <v>197</v>
      </c>
      <c r="F261" s="6">
        <f>SUMIF([1]SALIDAS!B:B,[1]INVENTARIO!B261,[1]SALIDAS!E:E)</f>
        <v>0</v>
      </c>
      <c r="G261" s="6">
        <f t="shared" si="4"/>
        <v>197</v>
      </c>
      <c r="H261" s="9"/>
    </row>
    <row r="262" spans="2:8">
      <c r="B262" s="4">
        <v>260</v>
      </c>
      <c r="C262" s="5" t="str">
        <f>IFERROR(VLOOKUP(B262,[1]ENTRADAS!B:F,2,FALSE),"")</f>
        <v>PEROLES 51CM DIAMETRO</v>
      </c>
      <c r="D262" s="6" t="s">
        <v>7</v>
      </c>
      <c r="E262" s="6">
        <f>SUMIF([1]ENTRADAS!B:B,[1]INVENTARIO!B262,[1]ENTRADAS!E:E)</f>
        <v>2</v>
      </c>
      <c r="F262" s="6">
        <f>SUMIF([1]SALIDAS!B:B,[1]INVENTARIO!B262,[1]SALIDAS!E:E)</f>
        <v>0</v>
      </c>
      <c r="G262" s="6">
        <f t="shared" si="4"/>
        <v>2</v>
      </c>
      <c r="H262" s="9"/>
    </row>
    <row r="263" spans="2:8">
      <c r="B263" s="4">
        <v>261</v>
      </c>
      <c r="C263" s="5" t="str">
        <f>IFERROR(VLOOKUP(B263,[1]ENTRADAS!B:F,2,FALSE),"")</f>
        <v>PEROLES DE 61CM DE DIAMETRO</v>
      </c>
      <c r="D263" s="6" t="s">
        <v>7</v>
      </c>
      <c r="E263" s="6">
        <f>SUMIF([1]ENTRADAS!B:B,[1]INVENTARIO!B263,[1]ENTRADAS!E:E)</f>
        <v>5</v>
      </c>
      <c r="F263" s="6">
        <f>SUMIF([1]SALIDAS!B:B,[1]INVENTARIO!B263,[1]SALIDAS!E:E)</f>
        <v>0</v>
      </c>
      <c r="G263" s="6">
        <f t="shared" si="4"/>
        <v>5</v>
      </c>
      <c r="H263" s="9"/>
    </row>
    <row r="264" spans="2:8">
      <c r="B264" s="4">
        <v>262</v>
      </c>
      <c r="C264" s="5" t="str">
        <f>IFERROR(VLOOKUP(B264,[1]ENTRADAS!B:F,2,FALSE),"")</f>
        <v>OLLAS DE 30CN ALTURA</v>
      </c>
      <c r="D264" s="6" t="s">
        <v>7</v>
      </c>
      <c r="E264" s="6">
        <f>SUMIF([1]ENTRADAS!B:B,[1]INVENTARIO!B264,[1]ENTRADAS!E:E)</f>
        <v>3</v>
      </c>
      <c r="F264" s="6">
        <f>SUMIF([1]SALIDAS!B:B,[1]INVENTARIO!B264,[1]SALIDAS!E:E)</f>
        <v>0</v>
      </c>
      <c r="G264" s="6">
        <f t="shared" si="4"/>
        <v>3</v>
      </c>
      <c r="H264" s="9"/>
    </row>
    <row r="265" spans="2:8">
      <c r="B265" s="4">
        <v>263</v>
      </c>
      <c r="C265" s="5" t="str">
        <f>IFERROR(VLOOKUP(B265,[1]ENTRADAS!B:F,2,FALSE),"")</f>
        <v>PELADORES DE CUY</v>
      </c>
      <c r="D265" s="6" t="s">
        <v>7</v>
      </c>
      <c r="E265" s="6">
        <f>SUMIF([1]ENTRADAS!B:B,[1]INVENTARIO!B265,[1]ENTRADAS!E:E)</f>
        <v>2</v>
      </c>
      <c r="F265" s="6">
        <f>SUMIF([1]SALIDAS!B:B,[1]INVENTARIO!B265,[1]SALIDAS!E:E)</f>
        <v>0</v>
      </c>
      <c r="G265" s="6">
        <f t="shared" si="4"/>
        <v>2</v>
      </c>
      <c r="H265" s="9"/>
    </row>
    <row r="266" spans="2:8">
      <c r="B266" s="4">
        <v>264</v>
      </c>
      <c r="C266" s="5" t="str">
        <f>IFERROR(VLOOKUP(B266,[1]ENTRADAS!B:F,2,FALSE),"")</f>
        <v>LICAUDORA ACERO GRANDE</v>
      </c>
      <c r="D266" s="6" t="s">
        <v>7</v>
      </c>
      <c r="E266" s="6">
        <f>SUMIF([1]ENTRADAS!B:B,[1]INVENTARIO!B266,[1]ENTRADAS!E:E)</f>
        <v>3</v>
      </c>
      <c r="F266" s="6">
        <f>SUMIF([1]SALIDAS!B:B,[1]INVENTARIO!B266,[1]SALIDAS!E:E)</f>
        <v>0</v>
      </c>
      <c r="G266" s="6">
        <f t="shared" si="4"/>
        <v>3</v>
      </c>
      <c r="H266" s="9"/>
    </row>
    <row r="267" spans="2:8">
      <c r="B267" s="4">
        <v>265</v>
      </c>
      <c r="C267" s="5" t="str">
        <f>IFERROR(VLOOKUP(B267,[1]ENTRADAS!B:F,2,FALSE),"")</f>
        <v>TABLAS DE PICAR</v>
      </c>
      <c r="D267" s="6" t="s">
        <v>7</v>
      </c>
      <c r="E267" s="6">
        <f>SUMIF([1]ENTRADAS!B:B,[1]INVENTARIO!B267,[1]ENTRADAS!E:E)</f>
        <v>2</v>
      </c>
      <c r="F267" s="6">
        <f>SUMIF([1]SALIDAS!B:B,[1]INVENTARIO!B267,[1]SALIDAS!E:E)</f>
        <v>0</v>
      </c>
      <c r="G267" s="6">
        <f t="shared" si="4"/>
        <v>2</v>
      </c>
      <c r="H267" s="9"/>
    </row>
    <row r="268" spans="2:8">
      <c r="B268" s="4">
        <v>266</v>
      </c>
      <c r="C268" s="5" t="str">
        <f>IFERROR(VLOOKUP(B268,[1]ENTRADAS!B:F,2,FALSE),"")</f>
        <v>SARTEN CHINO</v>
      </c>
      <c r="D268" s="6" t="s">
        <v>7</v>
      </c>
      <c r="E268" s="6">
        <f>SUMIF([1]ENTRADAS!B:B,[1]INVENTARIO!B268,[1]ENTRADAS!E:E)</f>
        <v>2</v>
      </c>
      <c r="F268" s="6">
        <f>SUMIF([1]SALIDAS!B:B,[1]INVENTARIO!B268,[1]SALIDAS!E:E)</f>
        <v>0</v>
      </c>
      <c r="G268" s="6">
        <f t="shared" si="4"/>
        <v>2</v>
      </c>
      <c r="H268" s="9"/>
    </row>
    <row r="269" spans="2:8">
      <c r="B269" s="4">
        <v>267</v>
      </c>
      <c r="C269" s="5" t="str">
        <f>IFERROR(VLOOKUP(B269,[1]ENTRADAS!B:F,2,FALSE),"")</f>
        <v>MOLINO DE CARNE</v>
      </c>
      <c r="D269" s="6" t="s">
        <v>7</v>
      </c>
      <c r="E269" s="6">
        <f>SUMIF([1]ENTRADAS!B:B,[1]INVENTARIO!B269,[1]ENTRADAS!E:E)</f>
        <v>1</v>
      </c>
      <c r="F269" s="6">
        <f>SUMIF([1]SALIDAS!B:B,[1]INVENTARIO!B269,[1]SALIDAS!E:E)</f>
        <v>0</v>
      </c>
      <c r="G269" s="6">
        <f t="shared" si="4"/>
        <v>1</v>
      </c>
      <c r="H269" s="9"/>
    </row>
    <row r="270" spans="2:8">
      <c r="B270" s="4">
        <v>268</v>
      </c>
      <c r="C270" s="5" t="str">
        <f>IFERROR(VLOOKUP(B270,[1]ENTRADAS!B:F,2,FALSE),"")</f>
        <v>TEFLON USADO</v>
      </c>
      <c r="D270" s="6" t="s">
        <v>7</v>
      </c>
      <c r="E270" s="6">
        <f>SUMIF([1]ENTRADAS!B:B,[1]INVENTARIO!B270,[1]ENTRADAS!E:E)</f>
        <v>1</v>
      </c>
      <c r="F270" s="6">
        <f>SUMIF([1]SALIDAS!B:B,[1]INVENTARIO!B270,[1]SALIDAS!E:E)</f>
        <v>0</v>
      </c>
      <c r="G270" s="6">
        <f t="shared" si="4"/>
        <v>1</v>
      </c>
      <c r="H270" s="9"/>
    </row>
    <row r="271" spans="2:8">
      <c r="B271" s="4">
        <v>269</v>
      </c>
      <c r="C271" s="5" t="str">
        <f>IFERROR(VLOOKUP(B271,[1]ENTRADAS!B:F,2,FALSE),"")</f>
        <v>MOLINO ELECTRICO</v>
      </c>
      <c r="D271" s="6" t="s">
        <v>7</v>
      </c>
      <c r="E271" s="6">
        <f>SUMIF([1]ENTRADAS!B:B,[1]INVENTARIO!B271,[1]ENTRADAS!E:E)</f>
        <v>2</v>
      </c>
      <c r="F271" s="6">
        <f>SUMIF([1]SALIDAS!B:B,[1]INVENTARIO!B271,[1]SALIDAS!E:E)</f>
        <v>0</v>
      </c>
      <c r="G271" s="6">
        <f t="shared" si="4"/>
        <v>2</v>
      </c>
      <c r="H271" s="9"/>
    </row>
    <row r="272" spans="2:8">
      <c r="B272" s="4">
        <v>270</v>
      </c>
      <c r="C272" s="5" t="str">
        <f>IFERROR(VLOOKUP(B272,[1]ENTRADAS!B:F,2,FALSE),"")</f>
        <v>TAPER DE CONSERVA 12L</v>
      </c>
      <c r="D272" s="6" t="s">
        <v>7</v>
      </c>
      <c r="E272" s="6">
        <f>SUMIF([1]ENTRADAS!B:B,[1]INVENTARIO!B272,[1]ENTRADAS!E:E)</f>
        <v>1</v>
      </c>
      <c r="F272" s="6">
        <f>SUMIF([1]SALIDAS!B:B,[1]INVENTARIO!B272,[1]SALIDAS!E:E)</f>
        <v>0</v>
      </c>
      <c r="G272" s="6">
        <f t="shared" si="4"/>
        <v>1</v>
      </c>
      <c r="H272" s="9"/>
    </row>
    <row r="273" spans="2:8">
      <c r="B273" s="4">
        <v>271</v>
      </c>
      <c r="C273" s="5" t="str">
        <f>IFERROR(VLOOKUP(B273,[1]ENTRADAS!B:F,2,FALSE),"")</f>
        <v>ESPUMADERA</v>
      </c>
      <c r="D273" s="6" t="s">
        <v>7</v>
      </c>
      <c r="E273" s="6">
        <f>SUMIF([1]ENTRADAS!B:B,[1]INVENTARIO!B273,[1]ENTRADAS!E:E)</f>
        <v>3</v>
      </c>
      <c r="F273" s="6">
        <f>SUMIF([1]SALIDAS!B:B,[1]INVENTARIO!B273,[1]SALIDAS!E:E)</f>
        <v>0</v>
      </c>
      <c r="G273" s="6">
        <f t="shared" si="4"/>
        <v>3</v>
      </c>
      <c r="H273" s="9"/>
    </row>
    <row r="274" spans="2:8">
      <c r="B274" s="4">
        <v>272</v>
      </c>
      <c r="C274" s="5" t="str">
        <f>IFERROR(VLOOKUP(B274,[1]ENTRADAS!B:F,2,FALSE),"")</f>
        <v>ESPUMADERA CHINO</v>
      </c>
      <c r="D274" s="6" t="s">
        <v>7</v>
      </c>
      <c r="E274" s="6">
        <f>SUMIF([1]ENTRADAS!B:B,[1]INVENTARIO!B274,[1]ENTRADAS!E:E)</f>
        <v>3</v>
      </c>
      <c r="F274" s="6">
        <f>SUMIF([1]SALIDAS!B:B,[1]INVENTARIO!B274,[1]SALIDAS!E:E)</f>
        <v>0</v>
      </c>
      <c r="G274" s="6">
        <f t="shared" si="4"/>
        <v>3</v>
      </c>
      <c r="H274" s="9"/>
    </row>
    <row r="275" spans="2:8">
      <c r="B275" s="4">
        <v>273</v>
      </c>
      <c r="C275" s="5" t="str">
        <f>IFERROR(VLOOKUP(B275,[1]ENTRADAS!B:F,2,FALSE),"")</f>
        <v>VASO DE LICUADORA</v>
      </c>
      <c r="D275" s="6" t="s">
        <v>7</v>
      </c>
      <c r="E275" s="6">
        <f>SUMIF([1]ENTRADAS!B:B,[1]INVENTARIO!B275,[1]ENTRADAS!E:E)</f>
        <v>2</v>
      </c>
      <c r="F275" s="6">
        <f>SUMIF([1]SALIDAS!B:B,[1]INVENTARIO!B275,[1]SALIDAS!E:E)</f>
        <v>0</v>
      </c>
      <c r="G275" s="6">
        <f t="shared" si="4"/>
        <v>2</v>
      </c>
      <c r="H275" s="9"/>
    </row>
    <row r="276" spans="2:8">
      <c r="B276" s="4">
        <v>274</v>
      </c>
      <c r="C276" s="5" t="str">
        <f>IFERROR(VLOOKUP(B276,[1]ENTRADAS!B:F,2,FALSE),"")</f>
        <v>FUENTES DE ACERO USADOS</v>
      </c>
      <c r="D276" s="6" t="s">
        <v>7</v>
      </c>
      <c r="E276" s="6">
        <f>SUMIF([1]ENTRADAS!B:B,[1]INVENTARIO!B276,[1]ENTRADAS!E:E)</f>
        <v>5</v>
      </c>
      <c r="F276" s="6">
        <f>SUMIF([1]SALIDAS!B:B,[1]INVENTARIO!B276,[1]SALIDAS!E:E)</f>
        <v>0</v>
      </c>
      <c r="G276" s="6">
        <f t="shared" si="4"/>
        <v>5</v>
      </c>
      <c r="H276" s="9"/>
    </row>
    <row r="277" spans="2:8">
      <c r="B277" s="4">
        <v>275</v>
      </c>
      <c r="C277" s="5" t="str">
        <f>IFERROR(VLOOKUP(B277,[1]ENTRADAS!B:F,2,FALSE),"")</f>
        <v>COLDADOR DE ACEITE</v>
      </c>
      <c r="D277" s="6" t="s">
        <v>7</v>
      </c>
      <c r="E277" s="6">
        <f>SUMIF([1]ENTRADAS!B:B,[1]INVENTARIO!B277,[1]ENTRADAS!E:E)</f>
        <v>29</v>
      </c>
      <c r="F277" s="6">
        <f>SUMIF([1]SALIDAS!B:B,[1]INVENTARIO!B277,[1]SALIDAS!E:E)</f>
        <v>0</v>
      </c>
      <c r="G277" s="6">
        <f t="shared" si="4"/>
        <v>29</v>
      </c>
      <c r="H277" s="9"/>
    </row>
    <row r="278" spans="2:8">
      <c r="B278" s="4">
        <v>276</v>
      </c>
      <c r="C278" s="5" t="str">
        <f>IFERROR(VLOOKUP(B278,[1]ENTRADAS!B:F,2,FALSE),"")</f>
        <v>BOWL DE VIDRIO 29DIAMETRO</v>
      </c>
      <c r="D278" s="6" t="s">
        <v>7</v>
      </c>
      <c r="E278" s="6">
        <f>SUMIF([1]ENTRADAS!B:B,[1]INVENTARIO!B278,[1]ENTRADAS!E:E)</f>
        <v>1</v>
      </c>
      <c r="F278" s="6">
        <f>SUMIF([1]SALIDAS!B:B,[1]INVENTARIO!B278,[1]SALIDAS!E:E)</f>
        <v>0</v>
      </c>
      <c r="G278" s="6">
        <f t="shared" si="4"/>
        <v>1</v>
      </c>
      <c r="H278" s="9"/>
    </row>
    <row r="279" spans="2:8">
      <c r="B279" s="4">
        <v>277</v>
      </c>
      <c r="C279" s="5" t="str">
        <f>IFERROR(VLOOKUP(B279,[1]ENTRADAS!B:F,2,FALSE),"")</f>
        <v>MAQUINA PROCESADOR DE ALIMENTOS </v>
      </c>
      <c r="D279" s="6" t="s">
        <v>7</v>
      </c>
      <c r="E279" s="6">
        <f>SUMIF([1]ENTRADAS!B:B,[1]INVENTARIO!B279,[1]ENTRADAS!E:E)</f>
        <v>1</v>
      </c>
      <c r="F279" s="6">
        <f>SUMIF([1]SALIDAS!B:B,[1]INVENTARIO!B279,[1]SALIDAS!E:E)</f>
        <v>0</v>
      </c>
      <c r="G279" s="6">
        <f t="shared" si="4"/>
        <v>1</v>
      </c>
      <c r="H279" s="9"/>
    </row>
    <row r="280" spans="2:8">
      <c r="B280" s="4">
        <v>278</v>
      </c>
      <c r="C280" s="5" t="str">
        <f>IFERROR(VLOOKUP(B280,[1]ENTRADAS!B:F,2,FALSE),"")</f>
        <v>CUCHILLO DE TORTA</v>
      </c>
      <c r="D280" s="6" t="s">
        <v>7</v>
      </c>
      <c r="E280" s="6">
        <f>SUMIF([1]ENTRADAS!B:B,[1]INVENTARIO!B280,[1]ENTRADAS!E:E)</f>
        <v>1</v>
      </c>
      <c r="F280" s="6">
        <f>SUMIF([1]SALIDAS!B:B,[1]INVENTARIO!B280,[1]SALIDAS!E:E)</f>
        <v>0</v>
      </c>
      <c r="G280" s="6">
        <f t="shared" si="4"/>
        <v>1</v>
      </c>
      <c r="H280" s="9"/>
    </row>
    <row r="281" spans="2:8">
      <c r="B281" s="4">
        <v>279</v>
      </c>
      <c r="C281" s="5" t="str">
        <f>IFERROR(VLOOKUP(B281,[1]ENTRADAS!B:F,2,FALSE),"")</f>
        <v>DESTAPADOR DE BALDES</v>
      </c>
      <c r="D281" s="6" t="s">
        <v>7</v>
      </c>
      <c r="E281" s="6">
        <f>SUMIF([1]ENTRADAS!B:B,[1]INVENTARIO!B281,[1]ENTRADAS!E:E)</f>
        <v>3</v>
      </c>
      <c r="F281" s="6">
        <f>SUMIF([1]SALIDAS!B:B,[1]INVENTARIO!B281,[1]SALIDAS!E:E)</f>
        <v>0</v>
      </c>
      <c r="G281" s="6">
        <f t="shared" si="4"/>
        <v>3</v>
      </c>
      <c r="H281" s="9"/>
    </row>
    <row r="282" spans="2:8">
      <c r="B282" s="4">
        <v>280</v>
      </c>
      <c r="C282" s="5" t="str">
        <f>IFERROR(VLOOKUP(B282,[1]ENTRADAS!B:F,2,FALSE),"")</f>
        <v>PELADORA DE PAPA</v>
      </c>
      <c r="D282" s="6" t="s">
        <v>7</v>
      </c>
      <c r="E282" s="6">
        <f>SUMIF([1]ENTRADAS!B:B,[1]INVENTARIO!B282,[1]ENTRADAS!E:E)</f>
        <v>1</v>
      </c>
      <c r="F282" s="6">
        <f>SUMIF([1]SALIDAS!B:B,[1]INVENTARIO!B282,[1]SALIDAS!E:E)</f>
        <v>0</v>
      </c>
      <c r="G282" s="6">
        <f t="shared" si="4"/>
        <v>1</v>
      </c>
      <c r="H282" s="9"/>
    </row>
    <row r="283" spans="2:8">
      <c r="B283" s="4">
        <v>281</v>
      </c>
      <c r="C283" s="5" t="str">
        <f>IFERROR(VLOOKUP(B283,[1]ENTRADAS!B:F,2,FALSE),"")</f>
        <v>EXPRIMIDORA DE NARANJA</v>
      </c>
      <c r="D283" s="6" t="s">
        <v>7</v>
      </c>
      <c r="E283" s="6">
        <f>SUMIF([1]ENTRADAS!B:B,[1]INVENTARIO!B283,[1]ENTRADAS!E:E)</f>
        <v>1</v>
      </c>
      <c r="F283" s="6">
        <f>SUMIF([1]SALIDAS!B:B,[1]INVENTARIO!B283,[1]SALIDAS!E:E)</f>
        <v>0</v>
      </c>
      <c r="G283" s="6">
        <f t="shared" si="4"/>
        <v>1</v>
      </c>
      <c r="H283" s="9"/>
    </row>
    <row r="284" spans="2:8">
      <c r="B284" s="4">
        <v>282</v>
      </c>
      <c r="C284" s="5" t="str">
        <f>IFERROR(VLOOKUP(B284,[1]ENTRADAS!B:F,2,FALSE),"")</f>
        <v>CUCHARON GANCHO</v>
      </c>
      <c r="D284" s="6" t="s">
        <v>7</v>
      </c>
      <c r="E284" s="6">
        <f>SUMIF([1]ENTRADAS!B:B,[1]INVENTARIO!B284,[1]ENTRADAS!E:E)</f>
        <v>2</v>
      </c>
      <c r="F284" s="6">
        <f>SUMIF([1]SALIDAS!B:B,[1]INVENTARIO!B284,[1]SALIDAS!E:E)</f>
        <v>0</v>
      </c>
      <c r="G284" s="6">
        <f t="shared" si="4"/>
        <v>2</v>
      </c>
      <c r="H284" s="9"/>
    </row>
    <row r="285" spans="2:8">
      <c r="B285" s="4">
        <v>283</v>
      </c>
      <c r="C285" s="5" t="str">
        <f>IFERROR(VLOOKUP(B285,[1]ENTRADAS!B:F,2,FALSE),"")</f>
        <v>PINZA DE DECORACION </v>
      </c>
      <c r="D285" s="6" t="s">
        <v>7</v>
      </c>
      <c r="E285" s="6">
        <f>SUMIF([1]ENTRADAS!B:B,[1]INVENTARIO!B285,[1]ENTRADAS!E:E)</f>
        <v>2</v>
      </c>
      <c r="F285" s="6">
        <f>SUMIF([1]SALIDAS!B:B,[1]INVENTARIO!B285,[1]SALIDAS!E:E)</f>
        <v>0</v>
      </c>
      <c r="G285" s="6">
        <f t="shared" si="4"/>
        <v>2</v>
      </c>
      <c r="H285" s="9"/>
    </row>
    <row r="286" spans="2:8">
      <c r="B286" s="4">
        <v>284</v>
      </c>
      <c r="C286" s="5" t="str">
        <f>IFERROR(VLOOKUP(B286,[1]ENTRADAS!B:F,2,FALSE),"")</f>
        <v>PICADORA DE PAPA</v>
      </c>
      <c r="D286" s="6" t="s">
        <v>7</v>
      </c>
      <c r="E286" s="6">
        <f>SUMIF([1]ENTRADAS!B:B,[1]INVENTARIO!B286,[1]ENTRADAS!E:E)</f>
        <v>1</v>
      </c>
      <c r="F286" s="6">
        <f>SUMIF([1]SALIDAS!B:B,[1]INVENTARIO!B286,[1]SALIDAS!E:E)</f>
        <v>0</v>
      </c>
      <c r="G286" s="6">
        <f t="shared" si="4"/>
        <v>1</v>
      </c>
      <c r="H286" s="9"/>
    </row>
    <row r="287" spans="2:8">
      <c r="B287" s="4">
        <v>285</v>
      </c>
      <c r="C287" s="5" t="str">
        <f>IFERROR(VLOOKUP(B287,[1]ENTRADAS!B:F,2,FALSE),"")</f>
        <v>COCINA PARRILLA</v>
      </c>
      <c r="D287" s="6" t="s">
        <v>7</v>
      </c>
      <c r="E287" s="6">
        <f>SUMIF([1]ENTRADAS!B:B,[1]INVENTARIO!B287,[1]ENTRADAS!E:E)</f>
        <v>1</v>
      </c>
      <c r="F287" s="6">
        <f>SUMIF([1]SALIDAS!B:B,[1]INVENTARIO!B287,[1]SALIDAS!E:E)</f>
        <v>0</v>
      </c>
      <c r="G287" s="6">
        <f t="shared" si="4"/>
        <v>1</v>
      </c>
      <c r="H287" s="9"/>
    </row>
    <row r="288" spans="2:8">
      <c r="B288" s="4">
        <v>286</v>
      </c>
      <c r="C288" s="5" t="str">
        <f>IFERROR(VLOOKUP(B288,[1]ENTRADAS!B:F,2,FALSE),"")</f>
        <v>TACHO 250L</v>
      </c>
      <c r="D288" s="6" t="s">
        <v>7</v>
      </c>
      <c r="E288" s="6">
        <f>SUMIF([1]ENTRADAS!B:B,[1]INVENTARIO!B288,[1]ENTRADAS!E:E)</f>
        <v>1</v>
      </c>
      <c r="F288" s="6">
        <f>SUMIF([1]SALIDAS!B:B,[1]INVENTARIO!B288,[1]SALIDAS!E:E)</f>
        <v>0</v>
      </c>
      <c r="G288" s="6">
        <f t="shared" si="4"/>
        <v>1</v>
      </c>
      <c r="H288" s="9"/>
    </row>
    <row r="289" spans="2:8">
      <c r="B289" s="4">
        <v>287</v>
      </c>
      <c r="C289" s="5" t="str">
        <f>IFERROR(VLOOKUP(B289,[1]ENTRADAS!B:F,2,FALSE),"")</f>
        <v>CANASTAS TENDIDAS</v>
      </c>
      <c r="D289" s="6" t="s">
        <v>7</v>
      </c>
      <c r="E289" s="6">
        <f>SUMIF([1]ENTRADAS!B:B,[1]INVENTARIO!B289,[1]ENTRADAS!E:E)</f>
        <v>1</v>
      </c>
      <c r="F289" s="6">
        <f>SUMIF([1]SALIDAS!B:B,[1]INVENTARIO!B289,[1]SALIDAS!E:E)</f>
        <v>0</v>
      </c>
      <c r="G289" s="6">
        <f t="shared" si="4"/>
        <v>1</v>
      </c>
      <c r="H289" s="9"/>
    </row>
    <row r="290" spans="2:8">
      <c r="B290" s="4">
        <v>288</v>
      </c>
      <c r="C290" s="5" t="str">
        <f>IFERROR(VLOOKUP(B290,[1]ENTRADAS!B:F,2,FALSE),"")</f>
        <v>EMPAQUETADORA DE OLLA PRESION</v>
      </c>
      <c r="D290" s="6" t="s">
        <v>7</v>
      </c>
      <c r="E290" s="6">
        <f>SUMIF([1]ENTRADAS!B:B,[1]INVENTARIO!B290,[1]ENTRADAS!E:E)</f>
        <v>3</v>
      </c>
      <c r="F290" s="6">
        <f>SUMIF([1]SALIDAS!B:B,[1]INVENTARIO!B290,[1]SALIDAS!E:E)</f>
        <v>0</v>
      </c>
      <c r="G290" s="6">
        <f t="shared" si="4"/>
        <v>3</v>
      </c>
      <c r="H290" s="9"/>
    </row>
    <row r="291" spans="2:8">
      <c r="B291" s="4">
        <v>289</v>
      </c>
      <c r="C291" s="5" t="str">
        <f>IFERROR(VLOOKUP(B291,[1]ENTRADAS!B:F,2,FALSE),"")</f>
        <v>BALANZA HENKEL</v>
      </c>
      <c r="D291" s="6" t="s">
        <v>7</v>
      </c>
      <c r="E291" s="6">
        <f>SUMIF([1]ENTRADAS!B:B,[1]INVENTARIO!B291,[1]ENTRADAS!E:E)</f>
        <v>2</v>
      </c>
      <c r="F291" s="6">
        <f>SUMIF([1]SALIDAS!B:B,[1]INVENTARIO!B291,[1]SALIDAS!E:E)</f>
        <v>0</v>
      </c>
      <c r="G291" s="6">
        <f t="shared" si="4"/>
        <v>2</v>
      </c>
      <c r="H291" s="9"/>
    </row>
    <row r="292" spans="2:8">
      <c r="B292" s="4">
        <v>290</v>
      </c>
      <c r="C292" s="5" t="str">
        <f>IFERROR(VLOOKUP(B292,[1]ENTRADAS!B:F,2,FALSE),"")</f>
        <v>BALANZA DACOTA</v>
      </c>
      <c r="D292" s="6" t="s">
        <v>7</v>
      </c>
      <c r="E292" s="6">
        <f>SUMIF([1]ENTRADAS!B:B,[1]INVENTARIO!B292,[1]ENTRADAS!E:E)</f>
        <v>1</v>
      </c>
      <c r="F292" s="6">
        <f>SUMIF([1]SALIDAS!B:B,[1]INVENTARIO!B292,[1]SALIDAS!E:E)</f>
        <v>0</v>
      </c>
      <c r="G292" s="6">
        <f t="shared" si="4"/>
        <v>1</v>
      </c>
      <c r="H292" s="9"/>
    </row>
    <row r="293" spans="2:8">
      <c r="B293" s="4">
        <v>291</v>
      </c>
      <c r="C293" s="5" t="str">
        <f>IFERROR(VLOOKUP(B293,[1]ENTRADAS!B:F,2,FALSE),"")</f>
        <v>FAJA DE MOLINO</v>
      </c>
      <c r="D293" s="6" t="s">
        <v>7</v>
      </c>
      <c r="E293" s="6">
        <f>SUMIF([1]ENTRADAS!B:B,[1]INVENTARIO!B293,[1]ENTRADAS!E:E)</f>
        <v>1</v>
      </c>
      <c r="F293" s="6">
        <f>SUMIF([1]SALIDAS!B:B,[1]INVENTARIO!B293,[1]SALIDAS!E:E)</f>
        <v>0</v>
      </c>
      <c r="G293" s="6">
        <f t="shared" si="4"/>
        <v>1</v>
      </c>
      <c r="H293" s="9"/>
    </row>
    <row r="294" spans="2:8">
      <c r="B294" s="4">
        <v>292</v>
      </c>
      <c r="C294" s="5" t="str">
        <f>IFERROR(VLOOKUP(B294,[1]ENTRADAS!B:F,2,FALSE),"")</f>
        <v>SIERRA CORTADORA DE CARNE</v>
      </c>
      <c r="D294" s="6" t="s">
        <v>7</v>
      </c>
      <c r="E294" s="6">
        <f>SUMIF([1]ENTRADAS!B:B,[1]INVENTARIO!B294,[1]ENTRADAS!E:E)</f>
        <v>2</v>
      </c>
      <c r="F294" s="6">
        <f>SUMIF([1]SALIDAS!B:B,[1]INVENTARIO!B294,[1]SALIDAS!E:E)</f>
        <v>0</v>
      </c>
      <c r="G294" s="6">
        <f t="shared" si="4"/>
        <v>2</v>
      </c>
      <c r="H294" s="9"/>
    </row>
    <row r="295" spans="2:8">
      <c r="B295" s="4">
        <v>293</v>
      </c>
      <c r="C295" s="5" t="str">
        <f>IFERROR(VLOOKUP(B295,[1]ENTRADAS!B:F,2,FALSE),"")</f>
        <v>SOPLETE DE GAS</v>
      </c>
      <c r="D295" s="6" t="s">
        <v>7</v>
      </c>
      <c r="E295" s="6">
        <f>SUMIF([1]ENTRADAS!B:B,[1]INVENTARIO!B295,[1]ENTRADAS!E:E)</f>
        <v>2</v>
      </c>
      <c r="F295" s="6">
        <f>SUMIF([1]SALIDAS!B:B,[1]INVENTARIO!B295,[1]SALIDAS!E:E)</f>
        <v>0</v>
      </c>
      <c r="G295" s="6">
        <f t="shared" si="4"/>
        <v>2</v>
      </c>
      <c r="H295" s="9"/>
    </row>
    <row r="296" spans="2:8">
      <c r="B296" s="4">
        <v>294</v>
      </c>
      <c r="C296" s="5" t="str">
        <f>IFERROR(VLOOKUP(B296,[1]ENTRADAS!B:F,2,FALSE),"")</f>
        <v>MARTILLO </v>
      </c>
      <c r="D296" s="6" t="s">
        <v>7</v>
      </c>
      <c r="E296" s="6">
        <f>SUMIF([1]ENTRADAS!B:B,[1]INVENTARIO!B296,[1]ENTRADAS!E:E)</f>
        <v>1</v>
      </c>
      <c r="F296" s="6">
        <f>SUMIF([1]SALIDAS!B:B,[1]INVENTARIO!B296,[1]SALIDAS!E:E)</f>
        <v>0</v>
      </c>
      <c r="G296" s="6">
        <f t="shared" si="4"/>
        <v>1</v>
      </c>
      <c r="H296" s="9"/>
    </row>
    <row r="297" spans="2:8">
      <c r="B297" s="4">
        <v>295</v>
      </c>
      <c r="C297" s="5" t="str">
        <f>IFERROR(VLOOKUP(B297,[1]ENTRADAS!B:F,2,FALSE),"")</f>
        <v>CIZALLA DE PALANCA</v>
      </c>
      <c r="D297" s="6" t="s">
        <v>7</v>
      </c>
      <c r="E297" s="6">
        <f>SUMIF([1]ENTRADAS!B:B,[1]INVENTARIO!B297,[1]ENTRADAS!E:E)</f>
        <v>1</v>
      </c>
      <c r="F297" s="6">
        <f>SUMIF([1]SALIDAS!B:B,[1]INVENTARIO!B297,[1]SALIDAS!E:E)</f>
        <v>0</v>
      </c>
      <c r="G297" s="6">
        <f t="shared" si="4"/>
        <v>1</v>
      </c>
      <c r="H297" s="9"/>
    </row>
    <row r="298" spans="2:8">
      <c r="B298" s="4">
        <v>296</v>
      </c>
      <c r="C298" s="5" t="str">
        <f>IFERROR(VLOOKUP(B298,[1]ENTRADAS!B:F,2,FALSE),"")</f>
        <v>WINCHA METRO</v>
      </c>
      <c r="D298" s="6" t="s">
        <v>7</v>
      </c>
      <c r="E298" s="6">
        <f>SUMIF([1]ENTRADAS!B:B,[1]INVENTARIO!B298,[1]ENTRADAS!E:E)</f>
        <v>1</v>
      </c>
      <c r="F298" s="6">
        <f>SUMIF([1]SALIDAS!B:B,[1]INVENTARIO!B298,[1]SALIDAS!E:E)</f>
        <v>0</v>
      </c>
      <c r="G298" s="6">
        <f t="shared" si="4"/>
        <v>1</v>
      </c>
      <c r="H298" s="9"/>
    </row>
    <row r="299" spans="2:8">
      <c r="B299" s="4">
        <v>297</v>
      </c>
      <c r="C299" s="5" t="str">
        <f>IFERROR(VLOOKUP(B299,[1]ENTRADAS!B:F,2,FALSE),"")</f>
        <v>ALICATE</v>
      </c>
      <c r="D299" s="6" t="s">
        <v>7</v>
      </c>
      <c r="E299" s="6">
        <f>SUMIF([1]ENTRADAS!B:B,[1]INVENTARIO!B299,[1]ENTRADAS!E:E)</f>
        <v>1</v>
      </c>
      <c r="F299" s="6">
        <f>SUMIF([1]SALIDAS!B:B,[1]INVENTARIO!B299,[1]SALIDAS!E:E)</f>
        <v>0</v>
      </c>
      <c r="G299" s="6">
        <f t="shared" si="4"/>
        <v>1</v>
      </c>
      <c r="H299" s="9"/>
    </row>
    <row r="300" spans="2:8">
      <c r="B300" s="4">
        <v>298</v>
      </c>
      <c r="C300" s="5" t="str">
        <f>IFERROR(VLOOKUP(B300,[1]ENTRADAS!B:F,2,FALSE),"")</f>
        <v>ALTAVOCES</v>
      </c>
      <c r="D300" s="6" t="s">
        <v>7</v>
      </c>
      <c r="E300" s="6">
        <f>SUMIF([1]ENTRADAS!B:B,[1]INVENTARIO!B300,[1]ENTRADAS!E:E)</f>
        <v>1</v>
      </c>
      <c r="F300" s="6">
        <f>SUMIF([1]SALIDAS!B:B,[1]INVENTARIO!B300,[1]SALIDAS!E:E)</f>
        <v>0</v>
      </c>
      <c r="G300" s="6">
        <f t="shared" si="4"/>
        <v>1</v>
      </c>
      <c r="H300" s="9"/>
    </row>
    <row r="301" spans="2:8">
      <c r="B301" s="4">
        <v>299</v>
      </c>
      <c r="C301" s="5" t="str">
        <f>IFERROR(VLOOKUP(B301,[1]ENTRADAS!B:F,2,FALSE),"")</f>
        <v>HIDROLAVADORA</v>
      </c>
      <c r="D301" s="6" t="s">
        <v>7</v>
      </c>
      <c r="E301" s="6">
        <f>SUMIF([1]ENTRADAS!B:B,[1]INVENTARIO!B301,[1]ENTRADAS!E:E)</f>
        <v>1</v>
      </c>
      <c r="F301" s="6">
        <f>SUMIF([1]SALIDAS!B:B,[1]INVENTARIO!B301,[1]SALIDAS!E:E)</f>
        <v>0</v>
      </c>
      <c r="G301" s="6">
        <f t="shared" si="4"/>
        <v>1</v>
      </c>
      <c r="H301" s="9"/>
    </row>
    <row r="302" spans="2:8">
      <c r="B302" s="4">
        <v>300</v>
      </c>
      <c r="C302" s="5" t="str">
        <f>IFERROR(VLOOKUP(B302,[1]ENTRADAS!B:F,2,FALSE),"")</f>
        <v>PITON DE GAZ</v>
      </c>
      <c r="D302" s="6" t="s">
        <v>7</v>
      </c>
      <c r="E302" s="6">
        <f>SUMIF([1]ENTRADAS!B:B,[1]INVENTARIO!B302,[1]ENTRADAS!E:E)</f>
        <v>1</v>
      </c>
      <c r="F302" s="6">
        <f>SUMIF([1]SALIDAS!B:B,[1]INVENTARIO!B302,[1]SALIDAS!E:E)</f>
        <v>0</v>
      </c>
      <c r="G302" s="6">
        <f t="shared" si="4"/>
        <v>1</v>
      </c>
      <c r="H302" s="9"/>
    </row>
    <row r="303" spans="2:8">
      <c r="B303" s="4">
        <v>301</v>
      </c>
      <c r="C303" s="5" t="str">
        <f>IFERROR(VLOOKUP(B303,[1]ENTRADAS!B:F,2,FALSE),"")</f>
        <v>PEGAMENTO PVC</v>
      </c>
      <c r="D303" s="6" t="s">
        <v>7</v>
      </c>
      <c r="E303" s="6">
        <f>SUMIF([1]ENTRADAS!B:B,[1]INVENTARIO!B303,[1]ENTRADAS!E:E)</f>
        <v>3</v>
      </c>
      <c r="F303" s="6">
        <f>SUMIF([1]SALIDAS!B:B,[1]INVENTARIO!B303,[1]SALIDAS!E:E)</f>
        <v>0</v>
      </c>
      <c r="G303" s="6">
        <f t="shared" si="4"/>
        <v>3</v>
      </c>
      <c r="H303" s="9"/>
    </row>
    <row r="304" spans="2:8">
      <c r="B304" s="4">
        <v>302</v>
      </c>
      <c r="C304" s="5" t="str">
        <f>IFERROR(VLOOKUP(B304,[1]ENTRADAS!B:F,2,FALSE),"")</f>
        <v>ROMANA DE 5KL</v>
      </c>
      <c r="D304" s="6" t="s">
        <v>7</v>
      </c>
      <c r="E304" s="6">
        <f>SUMIF([1]ENTRADAS!B:B,[1]INVENTARIO!B304,[1]ENTRADAS!E:E)</f>
        <v>1</v>
      </c>
      <c r="F304" s="6">
        <f>SUMIF([1]SALIDAS!B:B,[1]INVENTARIO!B304,[1]SALIDAS!E:E)</f>
        <v>0</v>
      </c>
      <c r="G304" s="6">
        <f t="shared" si="4"/>
        <v>1</v>
      </c>
      <c r="H304" s="9"/>
    </row>
    <row r="305" spans="2:8">
      <c r="B305" s="4">
        <v>303</v>
      </c>
      <c r="C305" s="5" t="str">
        <f>IFERROR(VLOOKUP(B305,[1]ENTRADAS!B:F,2,FALSE),"")</f>
        <v>ESQUINERO</v>
      </c>
      <c r="D305" s="6" t="s">
        <v>7</v>
      </c>
      <c r="E305" s="6">
        <f>SUMIF([1]ENTRADAS!B:B,[1]INVENTARIO!B305,[1]ENTRADAS!E:E)</f>
        <v>3</v>
      </c>
      <c r="F305" s="6">
        <f>SUMIF([1]SALIDAS!B:B,[1]INVENTARIO!B305,[1]SALIDAS!E:E)</f>
        <v>0</v>
      </c>
      <c r="G305" s="6">
        <f t="shared" si="4"/>
        <v>3</v>
      </c>
      <c r="H305" s="9"/>
    </row>
    <row r="306" spans="2:8">
      <c r="B306" s="4">
        <v>304</v>
      </c>
      <c r="C306" s="5" t="str">
        <f>IFERROR(VLOOKUP(B306,[1]ENTRADAS!B:F,2,FALSE),"")</f>
        <v>SARANDAS DE MOLINO</v>
      </c>
      <c r="D306" s="6" t="s">
        <v>7</v>
      </c>
      <c r="E306" s="6">
        <f>SUMIF([1]ENTRADAS!B:B,[1]INVENTARIO!B306,[1]ENTRADAS!E:E)</f>
        <v>3</v>
      </c>
      <c r="F306" s="6">
        <f>SUMIF([1]SALIDAS!B:B,[1]INVENTARIO!B306,[1]SALIDAS!E:E)</f>
        <v>0</v>
      </c>
      <c r="G306" s="6">
        <f t="shared" si="4"/>
        <v>3</v>
      </c>
      <c r="H306" s="9"/>
    </row>
    <row r="307" spans="2:8">
      <c r="B307" s="4">
        <v>305</v>
      </c>
      <c r="C307" s="5" t="str">
        <f>IFERROR(VLOOKUP(B307,[1]ENTRADAS!B:F,2,FALSE),"")</f>
        <v>CUCHARAS USADOS</v>
      </c>
      <c r="D307" s="6" t="s">
        <v>7</v>
      </c>
      <c r="E307" s="6">
        <f>SUMIF([1]ENTRADAS!B:B,[1]INVENTARIO!B307,[1]ENTRADAS!E:E)</f>
        <v>4</v>
      </c>
      <c r="F307" s="6">
        <f>SUMIF([1]SALIDAS!B:B,[1]INVENTARIO!B307,[1]SALIDAS!E:E)</f>
        <v>0</v>
      </c>
      <c r="G307" s="6">
        <f t="shared" si="4"/>
        <v>4</v>
      </c>
      <c r="H307" s="9"/>
    </row>
    <row r="308" spans="2:8">
      <c r="B308" s="4">
        <v>306</v>
      </c>
      <c r="C308" s="5" t="str">
        <f>IFERROR(VLOOKUP(B308,[1]ENTRADAS!B:F,2,FALSE),"")</f>
        <v>TENEDORES USADOS</v>
      </c>
      <c r="D308" s="6" t="s">
        <v>7</v>
      </c>
      <c r="E308" s="6">
        <f>SUMIF([1]ENTRADAS!B:B,[1]INVENTARIO!B308,[1]ENTRADAS!E:E)</f>
        <v>9</v>
      </c>
      <c r="F308" s="6">
        <f>SUMIF([1]SALIDAS!B:B,[1]INVENTARIO!B308,[1]SALIDAS!E:E)</f>
        <v>0</v>
      </c>
      <c r="G308" s="6">
        <f t="shared" si="4"/>
        <v>9</v>
      </c>
      <c r="H308" s="9"/>
    </row>
    <row r="309" spans="2:8">
      <c r="B309" s="4">
        <v>307</v>
      </c>
      <c r="C309" s="5" t="str">
        <f>IFERROR(VLOOKUP(B309,[1]ENTRADAS!B:F,2,FALSE),"")</f>
        <v>CUCHILLOS REVERSOS USADOS</v>
      </c>
      <c r="D309" s="6" t="s">
        <v>7</v>
      </c>
      <c r="E309" s="6">
        <f>SUMIF([1]ENTRADAS!B:B,[1]INVENTARIO!B309,[1]ENTRADAS!E:E)</f>
        <v>31</v>
      </c>
      <c r="F309" s="6">
        <f>SUMIF([1]SALIDAS!B:B,[1]INVENTARIO!B309,[1]SALIDAS!E:E)</f>
        <v>0</v>
      </c>
      <c r="G309" s="6">
        <f t="shared" si="4"/>
        <v>31</v>
      </c>
      <c r="H309" s="9"/>
    </row>
    <row r="310" spans="2:8">
      <c r="B310" s="4">
        <v>308</v>
      </c>
      <c r="C310" s="5" t="str">
        <f>IFERROR(VLOOKUP(B310,[1]ENTRADAS!B:F,2,FALSE),"")</f>
        <v>CUCHARON DE MADERA</v>
      </c>
      <c r="D310" s="6" t="s">
        <v>7</v>
      </c>
      <c r="E310" s="6">
        <f>SUMIF([1]ENTRADAS!B:B,[1]INVENTARIO!B310,[1]ENTRADAS!E:E)</f>
        <v>35</v>
      </c>
      <c r="F310" s="6">
        <f>SUMIF([1]SALIDAS!B:B,[1]INVENTARIO!B310,[1]SALIDAS!E:E)</f>
        <v>0</v>
      </c>
      <c r="G310" s="6">
        <f t="shared" si="4"/>
        <v>35</v>
      </c>
      <c r="H310" s="9"/>
    </row>
    <row r="311" spans="2:8">
      <c r="B311" s="4">
        <v>309</v>
      </c>
      <c r="C311" s="5" t="str">
        <f>IFERROR(VLOOKUP(B311,[1]ENTRADAS!B:F,2,FALSE),"")</f>
        <v>SOPORTE DE TV</v>
      </c>
      <c r="D311" s="6" t="s">
        <v>7</v>
      </c>
      <c r="E311" s="6">
        <f>SUMIF([1]ENTRADAS!B:B,[1]INVENTARIO!B311,[1]ENTRADAS!E:E)</f>
        <v>2</v>
      </c>
      <c r="F311" s="6">
        <f>SUMIF([1]SALIDAS!B:B,[1]INVENTARIO!B311,[1]SALIDAS!E:E)</f>
        <v>0</v>
      </c>
      <c r="G311" s="6">
        <f t="shared" si="4"/>
        <v>2</v>
      </c>
      <c r="H311" s="9"/>
    </row>
    <row r="312" spans="2:8">
      <c r="B312" s="4">
        <v>310</v>
      </c>
      <c r="C312" s="5" t="str">
        <f>IFERROR(VLOOKUP(B312,[1]ENTRADAS!B:F,2,FALSE),"")</f>
        <v>ANTENA TV</v>
      </c>
      <c r="D312" s="6" t="s">
        <v>7</v>
      </c>
      <c r="E312" s="6">
        <f>SUMIF([1]ENTRADAS!B:B,[1]INVENTARIO!B312,[1]ENTRADAS!E:E)</f>
        <v>4</v>
      </c>
      <c r="F312" s="6">
        <f>SUMIF([1]SALIDAS!B:B,[1]INVENTARIO!B312,[1]SALIDAS!E:E)</f>
        <v>0</v>
      </c>
      <c r="G312" s="6">
        <f t="shared" si="4"/>
        <v>4</v>
      </c>
      <c r="H312" s="9"/>
    </row>
    <row r="313" spans="2:8">
      <c r="B313" s="4">
        <v>311</v>
      </c>
      <c r="C313" s="5" t="str">
        <f>IFERROR(VLOOKUP(B313,[1]ENTRADAS!B:F,2,FALSE),"")</f>
        <v>ALTAVOCES JBL</v>
      </c>
      <c r="D313" s="6" t="s">
        <v>7</v>
      </c>
      <c r="E313" s="6">
        <f>SUMIF([1]ENTRADAS!B:B,[1]INVENTARIO!B313,[1]ENTRADAS!E:E)</f>
        <v>1</v>
      </c>
      <c r="F313" s="6">
        <f>SUMIF([1]SALIDAS!B:B,[1]INVENTARIO!B313,[1]SALIDAS!E:E)</f>
        <v>0</v>
      </c>
      <c r="G313" s="6">
        <f t="shared" si="4"/>
        <v>1</v>
      </c>
      <c r="H313" s="9"/>
    </row>
    <row r="314" spans="2:8">
      <c r="B314" s="4">
        <v>312</v>
      </c>
      <c r="C314" s="5" t="str">
        <f>IFERROR(VLOOKUP(B314,[1]ENTRADAS!B:F,2,FALSE),"")</f>
        <v>PALA</v>
      </c>
      <c r="D314" s="6" t="s">
        <v>7</v>
      </c>
      <c r="E314" s="6">
        <f>SUMIF([1]ENTRADAS!B:B,[1]INVENTARIO!B314,[1]ENTRADAS!E:E)</f>
        <v>4</v>
      </c>
      <c r="F314" s="6">
        <f>SUMIF([1]SALIDAS!B:B,[1]INVENTARIO!B314,[1]SALIDAS!E:E)</f>
        <v>0</v>
      </c>
      <c r="G314" s="6">
        <f t="shared" si="4"/>
        <v>4</v>
      </c>
      <c r="H314" s="9"/>
    </row>
    <row r="315" spans="2:8">
      <c r="B315" s="4">
        <v>313</v>
      </c>
      <c r="C315" s="5" t="str">
        <f>IFERROR(VLOOKUP(B315,[1]ENTRADAS!B:F,2,FALSE),"")</f>
        <v>SOGA</v>
      </c>
      <c r="D315" s="6" t="s">
        <v>7</v>
      </c>
      <c r="E315" s="6">
        <f>SUMIF([1]ENTRADAS!B:B,[1]INVENTARIO!B315,[1]ENTRADAS!E:E)</f>
        <v>1</v>
      </c>
      <c r="F315" s="6">
        <f>SUMIF([1]SALIDAS!B:B,[1]INVENTARIO!B315,[1]SALIDAS!E:E)</f>
        <v>0</v>
      </c>
      <c r="G315" s="6">
        <f t="shared" si="4"/>
        <v>1</v>
      </c>
      <c r="H315" s="9"/>
    </row>
    <row r="316" spans="2:8">
      <c r="B316" s="4">
        <v>314</v>
      </c>
      <c r="C316" s="5" t="str">
        <f>IFERROR(VLOOKUP(B316,[1]ENTRADAS!B:F,2,FALSE),"")</f>
        <v>PREFILTRO AQUA NANO SEGUNDO TIEMPO</v>
      </c>
      <c r="D316" s="6" t="s">
        <v>7</v>
      </c>
      <c r="E316" s="6">
        <f>SUMIF([1]ENTRADAS!B:B,[1]INVENTARIO!B316,[1]ENTRADAS!E:E)</f>
        <v>3</v>
      </c>
      <c r="F316" s="6">
        <f>SUMIF([1]SALIDAS!B:B,[1]INVENTARIO!B316,[1]SALIDAS!E:E)</f>
        <v>0</v>
      </c>
      <c r="G316" s="6">
        <f t="shared" si="4"/>
        <v>3</v>
      </c>
      <c r="H316" s="9"/>
    </row>
    <row r="317" spans="2:8">
      <c r="B317" s="4">
        <v>315</v>
      </c>
      <c r="C317" s="5" t="str">
        <f>IFERROR(VLOOKUP(B317,[1]ENTRADAS!B:F,2,FALSE),"")</f>
        <v>DISQUETES</v>
      </c>
      <c r="D317" s="6" t="s">
        <v>12</v>
      </c>
      <c r="E317" s="6">
        <f>SUMIF([1]ENTRADAS!B:B,[1]INVENTARIO!B317,[1]ENTRADAS!E:E)</f>
        <v>2</v>
      </c>
      <c r="F317" s="6">
        <f>SUMIF([1]SALIDAS!B:B,[1]INVENTARIO!B317,[1]SALIDAS!E:E)</f>
        <v>0</v>
      </c>
      <c r="G317" s="6">
        <f t="shared" si="4"/>
        <v>2</v>
      </c>
      <c r="H317" s="9"/>
    </row>
    <row r="318" spans="2:8">
      <c r="B318" s="4">
        <v>316</v>
      </c>
      <c r="C318" s="5" t="str">
        <f>IFERROR(VLOOKUP(B318,[1]ENTRADAS!B:F,2,FALSE),"")</f>
        <v>FOCO PLANO LED</v>
      </c>
      <c r="D318" s="6" t="s">
        <v>7</v>
      </c>
      <c r="E318" s="6">
        <f>SUMIF([1]ENTRADAS!B:B,[1]INVENTARIO!B318,[1]ENTRADAS!E:E)</f>
        <v>3</v>
      </c>
      <c r="F318" s="6">
        <f>SUMIF([1]SALIDAS!B:B,[1]INVENTARIO!B318,[1]SALIDAS!E:E)</f>
        <v>0</v>
      </c>
      <c r="G318" s="6">
        <f t="shared" si="4"/>
        <v>3</v>
      </c>
      <c r="H318" s="9"/>
    </row>
    <row r="319" spans="2:8">
      <c r="B319" s="4">
        <v>317</v>
      </c>
      <c r="C319" s="5" t="str">
        <f>IFERROR(VLOOKUP(B319,[1]ENTRADAS!B:F,2,FALSE),"")</f>
        <v>CAUTIN ELECTRICO</v>
      </c>
      <c r="D319" s="6" t="s">
        <v>7</v>
      </c>
      <c r="E319" s="6">
        <f>SUMIF([1]ENTRADAS!B:B,[1]INVENTARIO!B319,[1]ENTRADAS!E:E)</f>
        <v>3</v>
      </c>
      <c r="F319" s="6">
        <f>SUMIF([1]SALIDAS!B:B,[1]INVENTARIO!B319,[1]SALIDAS!E:E)</f>
        <v>0</v>
      </c>
      <c r="G319" s="6">
        <f t="shared" si="4"/>
        <v>3</v>
      </c>
      <c r="H319" s="9"/>
    </row>
    <row r="320" spans="2:8">
      <c r="B320" s="4">
        <v>318</v>
      </c>
      <c r="C320" s="5" t="str">
        <f>IFERROR(VLOOKUP(B320,[1]ENTRADAS!B:F,2,FALSE),"")</f>
        <v>PEGA RATA</v>
      </c>
      <c r="D320" s="6" t="s">
        <v>7</v>
      </c>
      <c r="E320" s="6">
        <f>SUMIF([1]ENTRADAS!B:B,[1]INVENTARIO!B320,[1]ENTRADAS!E:E)</f>
        <v>1</v>
      </c>
      <c r="F320" s="6">
        <f>SUMIF([1]SALIDAS!B:B,[1]INVENTARIO!B320,[1]SALIDAS!E:E)</f>
        <v>0</v>
      </c>
      <c r="G320" s="6">
        <f t="shared" si="4"/>
        <v>1</v>
      </c>
      <c r="H320" s="9"/>
    </row>
    <row r="321" spans="2:8">
      <c r="B321" s="4">
        <v>319</v>
      </c>
      <c r="C321" s="5" t="str">
        <f>IFERROR(VLOOKUP(B321,[1]ENTRADAS!B:F,2,FALSE),"")</f>
        <v>ARCHIVADORES GRANDES</v>
      </c>
      <c r="D321" s="6" t="s">
        <v>7</v>
      </c>
      <c r="E321" s="6">
        <f>SUMIF([1]ENTRADAS!B:B,[1]INVENTARIO!B321,[1]ENTRADAS!E:E)</f>
        <v>9</v>
      </c>
      <c r="F321" s="6">
        <f>SUMIF([1]SALIDAS!B:B,[1]INVENTARIO!B321,[1]SALIDAS!E:E)</f>
        <v>0</v>
      </c>
      <c r="G321" s="6">
        <f t="shared" si="4"/>
        <v>9</v>
      </c>
      <c r="H321" s="9"/>
    </row>
    <row r="322" spans="2:8">
      <c r="B322" s="4">
        <v>320</v>
      </c>
      <c r="C322" s="5" t="str">
        <f>IFERROR(VLOOKUP(B322,[1]ENTRADAS!B:F,2,FALSE),"")</f>
        <v>ARCHIVADORES PEQUEÑOS</v>
      </c>
      <c r="D322" s="6" t="s">
        <v>7</v>
      </c>
      <c r="E322" s="6">
        <f>SUMIF([1]ENTRADAS!B:B,[1]INVENTARIO!B322,[1]ENTRADAS!E:E)</f>
        <v>12</v>
      </c>
      <c r="F322" s="6">
        <f>SUMIF([1]SALIDAS!B:B,[1]INVENTARIO!B322,[1]SALIDAS!E:E)</f>
        <v>0</v>
      </c>
      <c r="G322" s="6">
        <f t="shared" si="4"/>
        <v>12</v>
      </c>
      <c r="H322" s="9"/>
    </row>
    <row r="323" spans="2:8">
      <c r="B323" s="4">
        <v>321</v>
      </c>
      <c r="C323" s="5" t="str">
        <f>IFERROR(VLOOKUP(B323,[1]ENTRADAS!B:F,2,FALSE),"")</f>
        <v>JARRA GLACIAL NADIR 1/2 LT</v>
      </c>
      <c r="D323" s="6" t="s">
        <v>7</v>
      </c>
      <c r="E323" s="6">
        <f>SUMIF([1]ENTRADAS!B:B,[1]INVENTARIO!B323,[1]ENTRADAS!E:E)</f>
        <v>12</v>
      </c>
      <c r="F323" s="6">
        <f>SUMIF([1]SALIDAS!B:B,[1]INVENTARIO!B323,[1]SALIDAS!E:E)</f>
        <v>1</v>
      </c>
      <c r="G323" s="6">
        <f t="shared" ref="G323:G331" si="5">E323-F323</f>
        <v>11</v>
      </c>
      <c r="H323" s="9"/>
    </row>
    <row r="324" spans="2:8">
      <c r="B324" s="4">
        <v>322</v>
      </c>
      <c r="C324" s="5" t="str">
        <f>IFERROR(VLOOKUP(B324,[1]ENTRADAS!B:F,2,FALSE),"")</f>
        <v>JARRA CON CUELLO 1/2 LT</v>
      </c>
      <c r="D324" s="6" t="s">
        <v>7</v>
      </c>
      <c r="E324" s="6">
        <f>SUMIF([1]ENTRADAS!B:B,[1]INVENTARIO!B324,[1]ENTRADAS!E:E)</f>
        <v>13</v>
      </c>
      <c r="F324" s="6">
        <f>SUMIF([1]SALIDAS!B:B,[1]INVENTARIO!B324,[1]SALIDAS!E:E)</f>
        <v>0</v>
      </c>
      <c r="G324" s="6">
        <f t="shared" si="5"/>
        <v>13</v>
      </c>
      <c r="H324" s="9"/>
    </row>
    <row r="325" spans="2:8">
      <c r="B325" s="4">
        <v>323</v>
      </c>
      <c r="C325" s="5" t="str">
        <f>IFERROR(VLOOKUP(B325,[1]ENTRADAS!B:F,2,FALSE),"")</f>
        <v>JARRA CON CUELLO 1 LT</v>
      </c>
      <c r="D325" s="6" t="s">
        <v>7</v>
      </c>
      <c r="E325" s="6">
        <f>SUMIF([1]ENTRADAS!B:B,[1]INVENTARIO!B325,[1]ENTRADAS!E:E)</f>
        <v>22</v>
      </c>
      <c r="F325" s="6">
        <f>SUMIF([1]SALIDAS!B:B,[1]INVENTARIO!B325,[1]SALIDAS!E:E)</f>
        <v>0</v>
      </c>
      <c r="G325" s="6">
        <f t="shared" si="5"/>
        <v>22</v>
      </c>
      <c r="H325" s="9"/>
    </row>
    <row r="326" spans="2:8">
      <c r="B326" s="4">
        <v>324</v>
      </c>
      <c r="C326" s="5" t="str">
        <f>IFERROR(VLOOKUP(B326,[1]ENTRADAS!B:F,2,FALSE),"")</f>
        <v>VASO DE LICUADORA INDUSTRIAL</v>
      </c>
      <c r="D326" s="6"/>
      <c r="E326" s="6">
        <f>SUMIF([1]ENTRADAS!B:B,[1]INVENTARIO!B326,[1]ENTRADAS!E:E)</f>
        <v>14</v>
      </c>
      <c r="F326" s="6">
        <f>SUMIF([1]SALIDAS!B:B,[1]INVENTARIO!B326,[1]SALIDAS!E:E)</f>
        <v>0</v>
      </c>
      <c r="G326" s="6">
        <f t="shared" si="5"/>
        <v>14</v>
      </c>
      <c r="H326" s="9"/>
    </row>
    <row r="327" spans="2:8">
      <c r="B327" s="4">
        <v>325</v>
      </c>
      <c r="C327" s="5" t="str">
        <f>IFERROR(VLOOKUP(B327,[1]ENTRADAS!B:F,2,FALSE),"")</f>
        <v>URNA TRANSPARENTE</v>
      </c>
      <c r="D327" s="6"/>
      <c r="E327" s="6">
        <f>SUMIF([1]ENTRADAS!B:B,[1]INVENTARIO!B327,[1]ENTRADAS!E:E)</f>
        <v>3</v>
      </c>
      <c r="F327" s="6">
        <f>SUMIF([1]SALIDAS!B:B,[1]INVENTARIO!B327,[1]SALIDAS!E:E)</f>
        <v>0</v>
      </c>
      <c r="G327" s="6">
        <f t="shared" si="5"/>
        <v>3</v>
      </c>
      <c r="H327" s="9"/>
    </row>
    <row r="328" spans="2:8">
      <c r="B328" s="4">
        <v>326</v>
      </c>
      <c r="C328" s="5" t="str">
        <f>IFERROR(VLOOKUP(B328,[1]ENTRADAS!B:F,2,FALSE),"")</f>
        <v>VASO PARA ALMUERZO</v>
      </c>
      <c r="D328" s="6"/>
      <c r="E328" s="6">
        <f>SUMIF([1]ENTRADAS!B:B,[1]INVENTARIO!B328,[1]ENTRADAS!E:E)</f>
        <v>1</v>
      </c>
      <c r="F328" s="6">
        <f>SUMIF([1]SALIDAS!B:B,[1]INVENTARIO!B328,[1]SALIDAS!E:E)</f>
        <v>0</v>
      </c>
      <c r="G328" s="6">
        <f t="shared" si="5"/>
        <v>1</v>
      </c>
      <c r="H328" s="9"/>
    </row>
    <row r="329" spans="2:8">
      <c r="B329" s="4">
        <v>327</v>
      </c>
      <c r="C329" s="5" t="str">
        <f>IFERROR(VLOOKUP(B329,[1]ENTRADAS!B:F,2,FALSE),"")</f>
        <v>TAZA DESAYUNO DECORACION FLORAL</v>
      </c>
      <c r="D329" s="6"/>
      <c r="E329" s="6">
        <f>SUMIF([1]ENTRADAS!B:B,[1]INVENTARIO!B329,[1]ENTRADAS!E:E)</f>
        <v>42</v>
      </c>
      <c r="F329" s="6">
        <f>SUMIF([1]SALIDAS!B:B,[1]INVENTARIO!B329,[1]SALIDAS!E:E)</f>
        <v>0</v>
      </c>
      <c r="G329" s="6">
        <f t="shared" si="5"/>
        <v>42</v>
      </c>
      <c r="H329" s="9"/>
    </row>
    <row r="330" spans="2:8">
      <c r="B330" s="4">
        <v>328</v>
      </c>
      <c r="C330" s="5" t="str">
        <f>IFERROR(VLOOKUP(B330,[1]ENTRADAS!B:F,2,FALSE),"")</f>
        <v>PLATO BASE DE TAZA CON DECORACION FLORAL</v>
      </c>
      <c r="D330" s="6"/>
      <c r="E330" s="6">
        <f>SUMIF([1]ENTRADAS!B:B,[1]INVENTARIO!B330,[1]ENTRADAS!E:E)</f>
        <v>6</v>
      </c>
      <c r="F330" s="6">
        <f>SUMIF([1]SALIDAS!B:B,[1]INVENTARIO!B330,[1]SALIDAS!E:E)</f>
        <v>0</v>
      </c>
      <c r="G330" s="6">
        <f t="shared" si="5"/>
        <v>6</v>
      </c>
      <c r="H330" s="9"/>
    </row>
    <row r="331" spans="2:8">
      <c r="B331" s="4">
        <v>329</v>
      </c>
      <c r="C331" s="5" t="str">
        <f>IFERROR(VLOOKUP(B331,[1]ENTRADAS!B:F,2,FALSE),"")</f>
        <v>PINZAS PARRILLERAS</v>
      </c>
      <c r="D331" s="6"/>
      <c r="E331" s="6">
        <f>SUMIF([1]ENTRADAS!B:B,[1]INVENTARIO!B331,[1]ENTRADAS!E:E)</f>
        <v>9</v>
      </c>
      <c r="F331" s="6">
        <f>SUMIF([1]SALIDAS!B:B,[1]INVENTARIO!B331,[1]SALIDAS!E:E)</f>
        <v>0</v>
      </c>
      <c r="G331" s="6">
        <f t="shared" si="5"/>
        <v>9</v>
      </c>
      <c r="H331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alcar</dc:creator>
  <cp:lastModifiedBy>arthur alcarraz bora</cp:lastModifiedBy>
  <dcterms:created xsi:type="dcterms:W3CDTF">2026-09-02T22:23:03Z</dcterms:created>
  <dcterms:modified xsi:type="dcterms:W3CDTF">2026-09-02T22:24:32Z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A9884BA4A5A14BB79E332E5B9F2DD26A_11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1</vt:i4>
  </property>
</Properties>
</file>